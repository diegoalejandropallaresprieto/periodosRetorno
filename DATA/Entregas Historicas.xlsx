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fon\OneDrive\Escritorio\Analisis y pronostico de series temporales\"/>
    </mc:Choice>
  </mc:AlternateContent>
  <bookViews>
    <workbookView xWindow="0" yWindow="0" windowWidth="19200" windowHeight="7180" tabRatio="774"/>
  </bookViews>
  <sheets>
    <sheet name="6 Tributarios" sheetId="6" r:id="rId1"/>
    <sheet name="Conchos" sheetId="7" r:id="rId2"/>
    <sheet name="Vacas" sheetId="8" r:id="rId3"/>
    <sheet name="San Diego" sheetId="9" r:id="rId4"/>
    <sheet name="San Rodrigo" sheetId="10" r:id="rId5"/>
    <sheet name="Escondido" sheetId="11" r:id="rId6"/>
    <sheet name="Salado" sheetId="12" r:id="rId7"/>
    <sheet name="Base de Datos" sheetId="13" r:id="rId8"/>
    <sheet name="Oct2025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14" l="1"/>
  <c r="G33" i="14"/>
  <c r="H33" i="14"/>
  <c r="I33" i="14"/>
  <c r="J33" i="14"/>
  <c r="K33" i="14"/>
  <c r="E33" i="14"/>
  <c r="K27" i="14"/>
  <c r="K28" i="14"/>
  <c r="K29" i="14"/>
  <c r="K30" i="14"/>
  <c r="K31" i="14"/>
  <c r="K32" i="14"/>
  <c r="K26" i="14"/>
  <c r="E27" i="14"/>
  <c r="F27" i="14"/>
  <c r="G27" i="14"/>
  <c r="H27" i="14"/>
  <c r="I27" i="14"/>
  <c r="J27" i="14"/>
  <c r="E28" i="14"/>
  <c r="F28" i="14"/>
  <c r="G28" i="14"/>
  <c r="H28" i="14"/>
  <c r="I28" i="14"/>
  <c r="J28" i="14"/>
  <c r="E29" i="14"/>
  <c r="F29" i="14"/>
  <c r="G29" i="14"/>
  <c r="H29" i="14"/>
  <c r="I29" i="14"/>
  <c r="J29" i="14"/>
  <c r="E30" i="14"/>
  <c r="F30" i="14"/>
  <c r="G30" i="14"/>
  <c r="H30" i="14"/>
  <c r="I30" i="14"/>
  <c r="J30" i="14"/>
  <c r="E31" i="14"/>
  <c r="F31" i="14"/>
  <c r="G31" i="14"/>
  <c r="H31" i="14"/>
  <c r="I31" i="14"/>
  <c r="J31" i="14"/>
  <c r="E32" i="14"/>
  <c r="F32" i="14"/>
  <c r="G32" i="14"/>
  <c r="H32" i="14"/>
  <c r="I32" i="14"/>
  <c r="J32" i="14"/>
  <c r="F26" i="14"/>
  <c r="G26" i="14"/>
  <c r="H26" i="14"/>
  <c r="I26" i="14"/>
  <c r="J26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E26" i="14"/>
  <c r="B2" i="14" l="1"/>
  <c r="C2" i="14"/>
  <c r="D2" i="14"/>
  <c r="B3" i="14" l="1"/>
  <c r="C3" i="14"/>
  <c r="D3" i="14"/>
  <c r="B4" i="14" l="1"/>
  <c r="C4" i="14"/>
  <c r="D4" i="14"/>
  <c r="C5" i="14" l="1"/>
  <c r="B5" i="14"/>
  <c r="D5" i="14"/>
  <c r="B6" i="14" l="1"/>
  <c r="D6" i="14"/>
  <c r="C6" i="14"/>
  <c r="B7" i="14" l="1"/>
  <c r="C7" i="14"/>
  <c r="D7" i="14"/>
  <c r="B8" i="14" l="1"/>
  <c r="C8" i="14"/>
  <c r="D8" i="14"/>
  <c r="C9" i="14" l="1"/>
  <c r="B9" i="14"/>
  <c r="D9" i="14"/>
  <c r="B10" i="14" l="1"/>
  <c r="D10" i="14"/>
  <c r="C10" i="14"/>
  <c r="B11" i="14" l="1"/>
  <c r="C11" i="14"/>
  <c r="D11" i="14"/>
  <c r="D12" i="14" l="1"/>
  <c r="C12" i="14"/>
  <c r="B12" i="14"/>
  <c r="C13" i="14" l="1"/>
  <c r="D13" i="14"/>
  <c r="B13" i="14"/>
  <c r="B14" i="14" l="1"/>
  <c r="C14" i="14"/>
  <c r="D14" i="14"/>
  <c r="B15" i="14" l="1"/>
  <c r="C15" i="14"/>
  <c r="D15" i="14"/>
  <c r="B16" i="14" l="1"/>
  <c r="C16" i="14"/>
  <c r="D16" i="14"/>
  <c r="C17" i="14" l="1"/>
  <c r="D17" i="14"/>
  <c r="B17" i="14"/>
  <c r="B18" i="14" l="1"/>
  <c r="C18" i="14"/>
  <c r="D18" i="14"/>
  <c r="B19" i="14" l="1"/>
  <c r="C19" i="14"/>
  <c r="D19" i="14"/>
  <c r="B20" i="14" l="1"/>
  <c r="C20" i="14"/>
  <c r="D20" i="14"/>
  <c r="C21" i="14" l="1"/>
  <c r="D21" i="14"/>
  <c r="B21" i="14"/>
  <c r="D22" i="14" l="1"/>
  <c r="B22" i="14"/>
  <c r="C22" i="14"/>
  <c r="B23" i="14" l="1"/>
  <c r="C23" i="14"/>
  <c r="D23" i="14"/>
  <c r="D24" i="14" l="1"/>
  <c r="B24" i="14"/>
  <c r="C24" i="14"/>
  <c r="C25" i="14" l="1"/>
  <c r="B25" i="14"/>
  <c r="D25" i="14"/>
</calcChain>
</file>

<file path=xl/sharedStrings.xml><?xml version="1.0" encoding="utf-8"?>
<sst xmlns="http://schemas.openxmlformats.org/spreadsheetml/2006/main" count="111" uniqueCount="33">
  <si>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</si>
  <si>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</si>
  <si>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</si>
  <si>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</si>
  <si>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</si>
  <si>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</si>
  <si>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</si>
  <si>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</si>
  <si>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</si>
  <si>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</si>
  <si>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</si>
  <si>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</si>
  <si>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6 Tributarios</t>
  </si>
  <si>
    <t>Río Conchos</t>
  </si>
  <si>
    <t>Arroyo de las Vacas</t>
  </si>
  <si>
    <t>San Rodrigo</t>
  </si>
  <si>
    <t>Escondido</t>
  </si>
  <si>
    <t>Río Salado</t>
  </si>
  <si>
    <t>Río Escondido</t>
  </si>
  <si>
    <t>Río San Rodrigo</t>
  </si>
  <si>
    <t>Río San Diego</t>
  </si>
  <si>
    <t>Fecha</t>
  </si>
  <si>
    <t>Conchos</t>
  </si>
  <si>
    <t>Las Vacas</t>
  </si>
  <si>
    <t xml:space="preserve">San Diego </t>
  </si>
  <si>
    <t>Salado</t>
  </si>
  <si>
    <t>ENTREGAS A EU (TERCIO DE VOLÚMENES DE ESCURRIMIENTO)</t>
  </si>
  <si>
    <t>Dia</t>
  </si>
  <si>
    <t>Mes</t>
  </si>
  <si>
    <t>Año</t>
  </si>
  <si>
    <t>De Las Vacas</t>
  </si>
  <si>
    <t>San Diego</t>
  </si>
  <si>
    <t>GASTO MEDIO DIARIO EN METROS CÚBICOS POR 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</si>
</sst>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11" xfId="0" applyNumberFormat="1" applyBorder="1" applyAlignment="1">
      <alignment vertical="center"/>
    </xf>
    <xf numFmtId="164" fontId="0" fillId="0" borderId="13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15" xfId="0" applyNumberForma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7" fontId="0" fillId="2" borderId="23" xfId="0" applyNumberFormat="1" applyFill="1" applyBorder="1" applyAlignment="1">
      <alignment horizontal="center" vertical="center"/>
    </xf>
    <xf numFmtId="17" fontId="0" fillId="2" borderId="10" xfId="0" applyNumberForma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15" fontId="1" fillId="3" borderId="6" xfId="0" applyNumberFormat="1" applyFont="1" applyFill="1" applyBorder="1" applyAlignment="1">
      <alignment horizontal="center" vertical="center" wrapText="1"/>
    </xf>
    <xf numFmtId="15" fontId="4" fillId="0" borderId="7" xfId="1" applyNumberFormat="1" applyFont="1" applyBorder="1" applyAlignment="1">
      <alignment horizontal="center"/>
    </xf>
    <xf numFmtId="15" fontId="5" fillId="0" borderId="8" xfId="1" applyNumberFormat="1" applyFont="1" applyBorder="1" applyAlignment="1">
      <alignment horizontal="center"/>
    </xf>
    <xf numFmtId="164" fontId="0" fillId="0" borderId="4" xfId="0" applyNumberFormat="1" applyBorder="1"/>
    <xf numFmtId="164" fontId="0" fillId="0" borderId="9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5" fontId="1" fillId="3" borderId="0" xfId="0" applyNumberFormat="1" applyFont="1" applyFill="1" applyBorder="1" applyAlignment="1">
      <alignment horizontal="center" vertical="center" wrapText="1"/>
    </xf>
    <xf numFmtId="1" fontId="4" fillId="0" borderId="0" xfId="1" applyNumberFormat="1" applyFont="1" applyBorder="1" applyAlignment="1">
      <alignment horizontal="center"/>
    </xf>
    <xf numFmtId="164" fontId="0" fillId="0" borderId="11" xfId="0" applyNumberFormat="1" applyBorder="1"/>
    <xf numFmtId="164" fontId="0" fillId="0" borderId="12" xfId="0" applyNumberFormat="1" applyBorder="1"/>
    <xf numFmtId="2" fontId="0" fillId="0" borderId="4" xfId="0" applyNumberFormat="1" applyBorder="1" applyAlignment="1">
      <alignment vertical="center"/>
    </xf>
    <xf numFmtId="2" fontId="0" fillId="0" borderId="11" xfId="0" applyNumberFormat="1" applyBorder="1" applyAlignment="1">
      <alignment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Border="1" applyAlignment="1">
      <alignment horizontal="center"/>
    </xf>
    <xf numFmtId="165" fontId="2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/>
    <xf numFmtId="165" fontId="6" fillId="0" borderId="0" xfId="1" applyNumberFormat="1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Y13"/>
  <sheetViews>
    <sheetView tabSelected="1" workbookViewId="0">
      <selection activeCell="C16" sqref="C16"/>
    </sheetView>
  </sheetViews>
  <sheetFormatPr baseColWidth="10" defaultRowHeight="14.5" x14ac:dyDescent="0.35"/>
  <cols>
    <col min="1" max="1" width="11.54296875" customWidth="1"/>
  </cols>
  <sheetData>
    <row r="1" spans="1:77" ht="15" thickBot="1" x14ac:dyDescent="0.4">
      <c r="A1" s="14" t="s">
        <v>12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16.116</v>
      </c>
      <c r="D2" s="7">
        <v>9.9855333333333327</v>
      </c>
      <c r="E2" s="7">
        <v>7.4130000000000003</v>
      </c>
      <c r="F2" s="7">
        <v>7.3653000000000004</v>
      </c>
      <c r="G2" s="7">
        <v>8.4426666666666677</v>
      </c>
      <c r="H2" s="7">
        <v>8.4258199999999999</v>
      </c>
      <c r="I2" s="7">
        <v>9.0231999999999992</v>
      </c>
      <c r="J2" s="7">
        <v>11.964000000000002</v>
      </c>
      <c r="K2" s="7">
        <v>62.479666666666674</v>
      </c>
      <c r="L2" s="7">
        <v>27.167000000000002</v>
      </c>
      <c r="M2" s="7">
        <v>33.529333333333334</v>
      </c>
      <c r="N2" s="7">
        <v>15.219666666666667</v>
      </c>
      <c r="O2" s="7">
        <v>13.516333333333334</v>
      </c>
      <c r="P2" s="7">
        <v>9.4367333333333345</v>
      </c>
      <c r="Q2" s="7">
        <v>18.386333333333333</v>
      </c>
      <c r="R2" s="7">
        <v>10.667999999999999</v>
      </c>
      <c r="S2" s="7">
        <v>14.168000000000001</v>
      </c>
      <c r="T2" s="7">
        <v>17.983333333333334</v>
      </c>
      <c r="U2" s="7">
        <v>57.517100000000006</v>
      </c>
      <c r="V2" s="7">
        <v>15.667000000000002</v>
      </c>
      <c r="W2" s="7">
        <v>17.860000000000003</v>
      </c>
      <c r="X2" s="7">
        <v>75.302999999999997</v>
      </c>
      <c r="Y2" s="7">
        <v>20.189999999999998</v>
      </c>
      <c r="Z2" s="7">
        <v>23.529000000000003</v>
      </c>
      <c r="AA2" s="7">
        <v>21.80533333333333</v>
      </c>
      <c r="AB2" s="7">
        <v>20.513999999999999</v>
      </c>
      <c r="AC2" s="7">
        <v>54.016999999999996</v>
      </c>
      <c r="AD2" s="7">
        <v>11.622</v>
      </c>
      <c r="AE2" s="7">
        <v>69.709666666666678</v>
      </c>
      <c r="AF2" s="7">
        <v>12.706666666666667</v>
      </c>
      <c r="AG2" s="7">
        <v>34.598333333333329</v>
      </c>
      <c r="AH2" s="7">
        <v>21.216666666666665</v>
      </c>
      <c r="AI2" s="7">
        <v>10.363000000000001</v>
      </c>
      <c r="AJ2" s="7">
        <v>16.312000000000001</v>
      </c>
      <c r="AK2" s="7">
        <v>19.138000000000005</v>
      </c>
      <c r="AL2" s="7">
        <v>11.703733333333332</v>
      </c>
      <c r="AM2" s="7">
        <v>26.195666666666668</v>
      </c>
      <c r="AN2" s="7">
        <v>24.399000000000001</v>
      </c>
      <c r="AO2" s="7">
        <v>26.882666666666665</v>
      </c>
      <c r="AP2" s="7">
        <v>8.25</v>
      </c>
      <c r="AQ2" s="7">
        <v>33.389999999999993</v>
      </c>
      <c r="AR2" s="7">
        <v>102.84733333333334</v>
      </c>
      <c r="AS2" s="7">
        <v>12.842666666666666</v>
      </c>
      <c r="AT2" s="7">
        <v>17.258666666666667</v>
      </c>
      <c r="AU2" s="7">
        <v>3.4506666666666668</v>
      </c>
      <c r="AV2" s="7">
        <v>1.9261333333333333</v>
      </c>
      <c r="AW2" s="7">
        <v>2.2503333333333337</v>
      </c>
      <c r="AX2" s="7">
        <v>6.5026666666666673</v>
      </c>
      <c r="AY2" s="7">
        <v>2.7353333333333332</v>
      </c>
      <c r="AZ2" s="7">
        <v>6.1949999999999994</v>
      </c>
      <c r="BA2" s="7">
        <v>26.388666666666666</v>
      </c>
      <c r="BB2" s="7">
        <v>1.6333333333333335</v>
      </c>
      <c r="BC2" s="7">
        <v>4.4573333333333327</v>
      </c>
      <c r="BD2" s="7">
        <v>12.302333333333335</v>
      </c>
      <c r="BE2" s="7">
        <v>21.024000000000001</v>
      </c>
      <c r="BF2" s="7">
        <v>7.6520000000000001</v>
      </c>
      <c r="BG2" s="7">
        <v>4.7703333333333333</v>
      </c>
      <c r="BH2" s="7">
        <v>6.9133333333333331</v>
      </c>
      <c r="BI2" s="7">
        <v>59.120000000000005</v>
      </c>
      <c r="BJ2" s="7">
        <v>8.5139999999999993</v>
      </c>
      <c r="BK2" s="7">
        <v>48.280666666666662</v>
      </c>
      <c r="BL2" s="7">
        <v>5.3803333333333327</v>
      </c>
      <c r="BM2" s="7">
        <v>6.7536666666666667</v>
      </c>
      <c r="BN2" s="7">
        <v>20.013666666666666</v>
      </c>
      <c r="BO2" s="7">
        <v>15.235666666666667</v>
      </c>
      <c r="BP2" s="7">
        <v>13.553666666666665</v>
      </c>
      <c r="BQ2" s="7">
        <v>26.873666666666665</v>
      </c>
      <c r="BR2" s="7">
        <v>23.413333333333334</v>
      </c>
      <c r="BS2" s="7">
        <v>21.446999999999999</v>
      </c>
      <c r="BT2" s="7">
        <v>8.0263333333333318</v>
      </c>
      <c r="BU2" s="31">
        <v>3.2817599999999998</v>
      </c>
      <c r="BV2" s="31">
        <v>1.1756160000000002</v>
      </c>
      <c r="BW2" s="31">
        <v>6.9526079999999997</v>
      </c>
      <c r="BX2" s="31">
        <v>1.6148160000000003</v>
      </c>
      <c r="BY2" s="32">
        <v>4.2186240000000002</v>
      </c>
    </row>
    <row r="3" spans="1:77" x14ac:dyDescent="0.35">
      <c r="A3" s="12" t="s">
        <v>1</v>
      </c>
      <c r="B3" s="3">
        <v>24.404999999999998</v>
      </c>
      <c r="C3" s="2">
        <v>23.563000000000002</v>
      </c>
      <c r="D3" s="2">
        <v>7.837066666666666</v>
      </c>
      <c r="E3" s="2">
        <v>5.8440000000000012</v>
      </c>
      <c r="F3" s="2">
        <v>6.289533333333333</v>
      </c>
      <c r="G3" s="2">
        <v>7.041666666666667</v>
      </c>
      <c r="H3" s="2">
        <v>8.9420000000000002</v>
      </c>
      <c r="I3" s="2">
        <v>9.8014666666666646</v>
      </c>
      <c r="J3" s="2">
        <v>8.4176666666666655</v>
      </c>
      <c r="K3" s="2">
        <v>52.285333333333327</v>
      </c>
      <c r="L3" s="2">
        <v>35.731666666666669</v>
      </c>
      <c r="M3" s="2">
        <v>24.935000000000002</v>
      </c>
      <c r="N3" s="2">
        <v>11.21973333333333</v>
      </c>
      <c r="O3" s="2">
        <v>9.2482999999999986</v>
      </c>
      <c r="P3" s="2">
        <v>10.794733333333333</v>
      </c>
      <c r="Q3" s="2">
        <v>16.517333333333333</v>
      </c>
      <c r="R3" s="2">
        <v>9.5103333333333318</v>
      </c>
      <c r="S3" s="2">
        <v>10.795000000000002</v>
      </c>
      <c r="T3" s="2">
        <v>8.3836666666666666</v>
      </c>
      <c r="U3" s="2">
        <v>54.676666666666662</v>
      </c>
      <c r="V3" s="2">
        <v>12.494666666666667</v>
      </c>
      <c r="W3" s="2">
        <v>15.567366666666667</v>
      </c>
      <c r="X3" s="2">
        <v>38.036000000000001</v>
      </c>
      <c r="Y3" s="2">
        <v>16.561999999999998</v>
      </c>
      <c r="Z3" s="2">
        <v>17.896666666666665</v>
      </c>
      <c r="AA3" s="2">
        <v>43.565333333333328</v>
      </c>
      <c r="AB3" s="2">
        <v>12.126666666666667</v>
      </c>
      <c r="AC3" s="2">
        <v>45.125666666666667</v>
      </c>
      <c r="AD3" s="2">
        <v>10.278</v>
      </c>
      <c r="AE3" s="2">
        <v>44.448666666666668</v>
      </c>
      <c r="AF3" s="2">
        <v>10.501666666666667</v>
      </c>
      <c r="AG3" s="2">
        <v>45.205666666666666</v>
      </c>
      <c r="AH3" s="2">
        <v>22.638666666666666</v>
      </c>
      <c r="AI3" s="2">
        <v>13.141333333333332</v>
      </c>
      <c r="AJ3" s="2">
        <v>18.777333333333335</v>
      </c>
      <c r="AK3" s="2">
        <v>15.271999999999998</v>
      </c>
      <c r="AL3" s="2">
        <v>8.9996666666666663</v>
      </c>
      <c r="AM3" s="2">
        <v>27.543333333333333</v>
      </c>
      <c r="AN3" s="2">
        <v>19.559000000000001</v>
      </c>
      <c r="AO3" s="2">
        <v>23.957000000000001</v>
      </c>
      <c r="AP3" s="2">
        <v>19.451000000000004</v>
      </c>
      <c r="AQ3" s="2">
        <v>26.38966666666667</v>
      </c>
      <c r="AR3" s="2">
        <v>87.411000000000016</v>
      </c>
      <c r="AS3" s="2">
        <v>9.6319999999999997</v>
      </c>
      <c r="AT3" s="2">
        <v>14.556666666666668</v>
      </c>
      <c r="AU3" s="2">
        <v>2.4431333333333334</v>
      </c>
      <c r="AV3" s="2">
        <v>1.4039999999999999</v>
      </c>
      <c r="AW3" s="2">
        <v>3.1706666666666665</v>
      </c>
      <c r="AX3" s="2">
        <v>3.7677333333333336</v>
      </c>
      <c r="AY3" s="2">
        <v>2.4603333333333333</v>
      </c>
      <c r="AZ3" s="2">
        <v>6.2669999999999995</v>
      </c>
      <c r="BA3" s="2">
        <v>11.207666666666668</v>
      </c>
      <c r="BB3" s="2">
        <v>1.3463333333333334</v>
      </c>
      <c r="BC3" s="2">
        <v>5.3209999999999997</v>
      </c>
      <c r="BD3" s="2">
        <v>7.812666666666666</v>
      </c>
      <c r="BE3" s="2">
        <v>21.376333333333331</v>
      </c>
      <c r="BF3" s="2">
        <v>5.5156666666666663</v>
      </c>
      <c r="BG3" s="2">
        <v>3.46</v>
      </c>
      <c r="BH3" s="2">
        <v>5.1959999999999997</v>
      </c>
      <c r="BI3" s="2">
        <v>28.321000000000002</v>
      </c>
      <c r="BJ3" s="2">
        <v>33.273333333333333</v>
      </c>
      <c r="BK3" s="2">
        <v>48.185666666666663</v>
      </c>
      <c r="BL3" s="2">
        <v>5.2893333333333334</v>
      </c>
      <c r="BM3" s="2">
        <v>3.0456666666666665</v>
      </c>
      <c r="BN3" s="2">
        <v>12.25</v>
      </c>
      <c r="BO3" s="2">
        <v>15.866666666666667</v>
      </c>
      <c r="BP3" s="2">
        <v>4.4963333333333333</v>
      </c>
      <c r="BQ3" s="2">
        <v>11.980666666666668</v>
      </c>
      <c r="BR3" s="2">
        <v>13.061999999999999</v>
      </c>
      <c r="BS3" s="2">
        <v>14.791333333333334</v>
      </c>
      <c r="BT3" s="2">
        <v>2.363</v>
      </c>
      <c r="BU3" s="29">
        <v>2.2478400000000001</v>
      </c>
      <c r="BV3" s="29">
        <v>0.8951039999999999</v>
      </c>
      <c r="BW3" s="29">
        <v>4.9400640000000013</v>
      </c>
      <c r="BX3" s="29">
        <v>1.2012480000000001</v>
      </c>
      <c r="BY3" s="30">
        <v>2.6026559999999996</v>
      </c>
    </row>
    <row r="4" spans="1:77" x14ac:dyDescent="0.35">
      <c r="A4" s="12" t="s">
        <v>2</v>
      </c>
      <c r="B4" s="3">
        <v>23.83966666666667</v>
      </c>
      <c r="C4" s="2">
        <v>20.346333333333334</v>
      </c>
      <c r="D4" s="2">
        <v>5.7177999999999995</v>
      </c>
      <c r="E4" s="2">
        <v>5.7536666666666667</v>
      </c>
      <c r="F4" s="2">
        <v>3.8660666666666668</v>
      </c>
      <c r="G4" s="2">
        <v>4.5083333333333329</v>
      </c>
      <c r="H4" s="2">
        <v>6.1846666666666668</v>
      </c>
      <c r="I4" s="2">
        <v>7.3356666666666683</v>
      </c>
      <c r="J4" s="2">
        <v>5.880393333333334</v>
      </c>
      <c r="K4" s="2">
        <v>32.848333333333336</v>
      </c>
      <c r="L4" s="2">
        <v>25.436</v>
      </c>
      <c r="M4" s="2">
        <v>16.845266666666667</v>
      </c>
      <c r="N4" s="2">
        <v>10.564666666666666</v>
      </c>
      <c r="O4" s="2">
        <v>7.3806666666666665</v>
      </c>
      <c r="P4" s="2">
        <v>11.442399999999999</v>
      </c>
      <c r="Q4" s="2">
        <v>13.342333333333334</v>
      </c>
      <c r="R4" s="2">
        <v>8.0253333333333323</v>
      </c>
      <c r="S4" s="2">
        <v>10.536000000000001</v>
      </c>
      <c r="T4" s="2">
        <v>8.5939999999999994</v>
      </c>
      <c r="U4" s="2">
        <v>56.25500000000001</v>
      </c>
      <c r="V4" s="2">
        <v>10.766333333333332</v>
      </c>
      <c r="W4" s="2">
        <v>14.547666666666666</v>
      </c>
      <c r="X4" s="2">
        <v>36.930666666666667</v>
      </c>
      <c r="Y4" s="2">
        <v>13.486666666666666</v>
      </c>
      <c r="Z4" s="2">
        <v>21.983333333333334</v>
      </c>
      <c r="AA4" s="2">
        <v>89.370333333333335</v>
      </c>
      <c r="AB4" s="2">
        <v>11.364666666666666</v>
      </c>
      <c r="AC4" s="2">
        <v>47.629000000000005</v>
      </c>
      <c r="AD4" s="2">
        <v>8.8616666666666664</v>
      </c>
      <c r="AE4" s="2">
        <v>57.182666666666663</v>
      </c>
      <c r="AF4" s="2">
        <v>18.517333333333333</v>
      </c>
      <c r="AG4" s="2">
        <v>47.989333333333335</v>
      </c>
      <c r="AH4" s="2">
        <v>30.784000000000006</v>
      </c>
      <c r="AI4" s="2">
        <v>14.881666666666666</v>
      </c>
      <c r="AJ4" s="2">
        <v>10.638000000000002</v>
      </c>
      <c r="AK4" s="2">
        <v>14.442333333333336</v>
      </c>
      <c r="AL4" s="2">
        <v>10.223666666666666</v>
      </c>
      <c r="AM4" s="2">
        <v>52.186</v>
      </c>
      <c r="AN4" s="2">
        <v>12.842666666666668</v>
      </c>
      <c r="AO4" s="2">
        <v>18.331</v>
      </c>
      <c r="AP4" s="2">
        <v>21.598966666666669</v>
      </c>
      <c r="AQ4" s="2">
        <v>31.241333333333337</v>
      </c>
      <c r="AR4" s="2">
        <v>44.515000000000001</v>
      </c>
      <c r="AS4" s="2">
        <v>10.97</v>
      </c>
      <c r="AT4" s="2">
        <v>19.411333333333332</v>
      </c>
      <c r="AU4" s="2">
        <v>2.9019833333333334</v>
      </c>
      <c r="AV4" s="2">
        <v>1.1440000000000001</v>
      </c>
      <c r="AW4" s="2">
        <v>13.686</v>
      </c>
      <c r="AX4" s="2">
        <v>2.427</v>
      </c>
      <c r="AY4" s="2">
        <v>5.9853333333333332</v>
      </c>
      <c r="AZ4" s="2">
        <v>10.950666666666667</v>
      </c>
      <c r="BA4" s="2">
        <v>4.8713333333333333</v>
      </c>
      <c r="BB4" s="2">
        <v>1.5389999999999999</v>
      </c>
      <c r="BC4" s="2">
        <v>3.2616666666666663</v>
      </c>
      <c r="BD4" s="2">
        <v>37.354000000000006</v>
      </c>
      <c r="BE4" s="2">
        <v>13.181333333333335</v>
      </c>
      <c r="BF4" s="2">
        <v>10.113333333333333</v>
      </c>
      <c r="BG4" s="2">
        <v>21.661999999999999</v>
      </c>
      <c r="BH4" s="2">
        <v>4.3019999999999996</v>
      </c>
      <c r="BI4" s="2">
        <v>17.979333333333333</v>
      </c>
      <c r="BJ4" s="2">
        <v>7.0473333333333334</v>
      </c>
      <c r="BK4" s="2">
        <v>49.510000000000005</v>
      </c>
      <c r="BL4" s="2">
        <v>5.1069999999999993</v>
      </c>
      <c r="BM4" s="2">
        <v>2.5309999999999997</v>
      </c>
      <c r="BN4" s="2">
        <v>7.2203333333333326</v>
      </c>
      <c r="BO4" s="2">
        <v>11.204666666666666</v>
      </c>
      <c r="BP4" s="2">
        <v>10.104333333333333</v>
      </c>
      <c r="BQ4" s="2">
        <v>6.2250000000000005</v>
      </c>
      <c r="BR4" s="2">
        <v>7.9683333333333337</v>
      </c>
      <c r="BS4" s="2">
        <v>17.453666666666667</v>
      </c>
      <c r="BT4" s="2">
        <v>14.82</v>
      </c>
      <c r="BU4" s="29">
        <v>1.778688</v>
      </c>
      <c r="BV4" s="29">
        <v>0.61372800000000005</v>
      </c>
      <c r="BW4" s="29">
        <v>2.5876800000000002</v>
      </c>
      <c r="BX4" s="29">
        <v>4.1650559999999999</v>
      </c>
      <c r="BY4" s="30">
        <v>11.056032</v>
      </c>
    </row>
    <row r="5" spans="1:77" x14ac:dyDescent="0.35">
      <c r="A5" s="12" t="s">
        <v>3</v>
      </c>
      <c r="B5" s="3">
        <v>10.760666666666665</v>
      </c>
      <c r="C5" s="2">
        <v>9.7736666666666654</v>
      </c>
      <c r="D5" s="2">
        <v>3.5289999999999999</v>
      </c>
      <c r="E5" s="2">
        <v>6.9204333333333334</v>
      </c>
      <c r="F5" s="2">
        <v>12.350333333333333</v>
      </c>
      <c r="G5" s="2">
        <v>1.5176666666666667</v>
      </c>
      <c r="H5" s="2">
        <v>1.9566666666666666</v>
      </c>
      <c r="I5" s="2">
        <v>43.346333333333327</v>
      </c>
      <c r="J5" s="2">
        <v>1.6700000000000002</v>
      </c>
      <c r="K5" s="2">
        <v>20.227666666666664</v>
      </c>
      <c r="L5" s="2">
        <v>14.137666666666666</v>
      </c>
      <c r="M5" s="2">
        <v>9.7889999999999997</v>
      </c>
      <c r="N5" s="2">
        <v>10.396000000000001</v>
      </c>
      <c r="O5" s="2">
        <v>8.1419999999999995</v>
      </c>
      <c r="P5" s="2">
        <v>6.2449999999999992</v>
      </c>
      <c r="Q5" s="2">
        <v>8.945333333333334</v>
      </c>
      <c r="R5" s="2">
        <v>15.615666666666668</v>
      </c>
      <c r="S5" s="2">
        <v>9.1753333333333327</v>
      </c>
      <c r="T5" s="2">
        <v>10.842000000000001</v>
      </c>
      <c r="U5" s="2">
        <v>47.166666666666664</v>
      </c>
      <c r="V5" s="2">
        <v>7.4096666666666655</v>
      </c>
      <c r="W5" s="2">
        <v>11.437666666666667</v>
      </c>
      <c r="X5" s="2">
        <v>31.404666666666671</v>
      </c>
      <c r="Y5" s="2">
        <v>9.8620000000000001</v>
      </c>
      <c r="Z5" s="2">
        <v>25.023666666666664</v>
      </c>
      <c r="AA5" s="2">
        <v>44.187666666666665</v>
      </c>
      <c r="AB5" s="2">
        <v>15.562666666666665</v>
      </c>
      <c r="AC5" s="2">
        <v>55.020333333333333</v>
      </c>
      <c r="AD5" s="2">
        <v>29.574333333333332</v>
      </c>
      <c r="AE5" s="2">
        <v>55.662666666666674</v>
      </c>
      <c r="AF5" s="2">
        <v>18.869666666666671</v>
      </c>
      <c r="AG5" s="2">
        <v>149.18366666666668</v>
      </c>
      <c r="AH5" s="2">
        <v>42.391000000000005</v>
      </c>
      <c r="AI5" s="2">
        <v>11.956999999999999</v>
      </c>
      <c r="AJ5" s="2">
        <v>7.217666666666668</v>
      </c>
      <c r="AK5" s="2">
        <v>26.280666666666669</v>
      </c>
      <c r="AL5" s="2">
        <v>8.4636666666666684</v>
      </c>
      <c r="AM5" s="2">
        <v>45.451333333333324</v>
      </c>
      <c r="AN5" s="2">
        <v>11.151000000000002</v>
      </c>
      <c r="AO5" s="2">
        <v>14.296666666666667</v>
      </c>
      <c r="AP5" s="2">
        <v>35.655666666666662</v>
      </c>
      <c r="AQ5" s="2">
        <v>30.766666666666669</v>
      </c>
      <c r="AR5" s="2">
        <v>41.317</v>
      </c>
      <c r="AS5" s="2">
        <v>8.929333333333334</v>
      </c>
      <c r="AT5" s="2">
        <v>18.170666666666666</v>
      </c>
      <c r="AU5" s="2">
        <v>4.7829999999999995</v>
      </c>
      <c r="AV5" s="2">
        <v>1.1433333333333333</v>
      </c>
      <c r="AW5" s="2">
        <v>4.754666666666667</v>
      </c>
      <c r="AX5" s="2">
        <v>2.1866666666666665</v>
      </c>
      <c r="AY5" s="2">
        <v>3.91</v>
      </c>
      <c r="AZ5" s="2">
        <v>4.4740000000000002</v>
      </c>
      <c r="BA5" s="2">
        <v>21.790666666666663</v>
      </c>
      <c r="BB5" s="2">
        <v>2.863666666666667</v>
      </c>
      <c r="BC5" s="2">
        <v>2.652333333333333</v>
      </c>
      <c r="BD5" s="2">
        <v>115.63033333333334</v>
      </c>
      <c r="BE5" s="2">
        <v>5.79</v>
      </c>
      <c r="BF5" s="2">
        <v>12.772000000000002</v>
      </c>
      <c r="BG5" s="2">
        <v>9.2866666666666653</v>
      </c>
      <c r="BH5" s="2">
        <v>2.7126666666666663</v>
      </c>
      <c r="BI5" s="2">
        <v>9.4983333333333348</v>
      </c>
      <c r="BJ5" s="2">
        <v>79.970333333333329</v>
      </c>
      <c r="BK5" s="2">
        <v>12.329333333333334</v>
      </c>
      <c r="BL5" s="2">
        <v>5.0613333333333328</v>
      </c>
      <c r="BM5" s="2">
        <v>5.75</v>
      </c>
      <c r="BN5" s="2">
        <v>5.0360000000000005</v>
      </c>
      <c r="BO5" s="2">
        <v>14.558</v>
      </c>
      <c r="BP5" s="2">
        <v>5.4749999999999996</v>
      </c>
      <c r="BQ5" s="2">
        <v>12.542999999999999</v>
      </c>
      <c r="BR5" s="2">
        <v>4.2906666666666666</v>
      </c>
      <c r="BS5" s="2">
        <v>10.942333333333334</v>
      </c>
      <c r="BT5" s="2">
        <v>2.5</v>
      </c>
      <c r="BU5" s="29">
        <v>1.5384960000000001</v>
      </c>
      <c r="BV5" s="29">
        <v>0.51782400000000006</v>
      </c>
      <c r="BW5" s="29">
        <v>3.4727040000000007</v>
      </c>
      <c r="BX5" s="29">
        <v>0.9676800000000001</v>
      </c>
      <c r="BY5" s="30">
        <v>2.6418240000000002</v>
      </c>
    </row>
    <row r="6" spans="1:77" x14ac:dyDescent="0.35">
      <c r="A6" s="12" t="s">
        <v>4</v>
      </c>
      <c r="B6" s="3">
        <v>28.095333333333333</v>
      </c>
      <c r="C6" s="2">
        <v>42.132666666666665</v>
      </c>
      <c r="D6" s="2">
        <v>11.718</v>
      </c>
      <c r="E6" s="2">
        <v>3.5123333333333333</v>
      </c>
      <c r="F6" s="2">
        <v>35.285333333333327</v>
      </c>
      <c r="G6" s="2">
        <v>9.352666666666666</v>
      </c>
      <c r="H6" s="2">
        <v>5.5173333333333332</v>
      </c>
      <c r="I6" s="2">
        <v>67.771666666666675</v>
      </c>
      <c r="J6" s="2">
        <v>21.593</v>
      </c>
      <c r="K6" s="2">
        <v>22.192666666666664</v>
      </c>
      <c r="L6" s="2">
        <v>9.3753333333333355</v>
      </c>
      <c r="M6" s="2">
        <v>16.869</v>
      </c>
      <c r="N6" s="2">
        <v>8.1076666666666668</v>
      </c>
      <c r="O6" s="2">
        <v>20.628</v>
      </c>
      <c r="P6" s="2">
        <v>14.899000000000001</v>
      </c>
      <c r="Q6" s="2">
        <v>36.189</v>
      </c>
      <c r="R6" s="2">
        <v>54.045666666666669</v>
      </c>
      <c r="S6" s="2">
        <v>9.3845666666666681</v>
      </c>
      <c r="T6" s="2">
        <v>12.392666666666669</v>
      </c>
      <c r="U6" s="2">
        <v>24.393000000000001</v>
      </c>
      <c r="V6" s="2">
        <v>8.7243333333333339</v>
      </c>
      <c r="W6" s="2">
        <v>10.021333333333333</v>
      </c>
      <c r="X6" s="2">
        <v>41.123333333333335</v>
      </c>
      <c r="Y6" s="2">
        <v>13.821666666666665</v>
      </c>
      <c r="Z6" s="2">
        <v>57.62833333333333</v>
      </c>
      <c r="AA6" s="2">
        <v>27.194999999999997</v>
      </c>
      <c r="AB6" s="2">
        <v>26.356333333333332</v>
      </c>
      <c r="AC6" s="2">
        <v>60.852999999999994</v>
      </c>
      <c r="AD6" s="2">
        <v>36.974999999999994</v>
      </c>
      <c r="AE6" s="2">
        <v>48.889000000000003</v>
      </c>
      <c r="AF6" s="2">
        <v>43.294333333333334</v>
      </c>
      <c r="AG6" s="2">
        <v>212.57866666666666</v>
      </c>
      <c r="AH6" s="2">
        <v>65.633333333333326</v>
      </c>
      <c r="AI6" s="2">
        <v>32.027666666666661</v>
      </c>
      <c r="AJ6" s="2">
        <v>44.293666666666667</v>
      </c>
      <c r="AK6" s="2">
        <v>20.718999999999998</v>
      </c>
      <c r="AL6" s="2">
        <v>18.478333333333332</v>
      </c>
      <c r="AM6" s="2">
        <v>56.596666666666664</v>
      </c>
      <c r="AN6" s="2">
        <v>17.899000000000001</v>
      </c>
      <c r="AO6" s="2">
        <v>18.656666666666663</v>
      </c>
      <c r="AP6" s="2">
        <v>17.300333333333334</v>
      </c>
      <c r="AQ6" s="2">
        <v>26.761099999999995</v>
      </c>
      <c r="AR6" s="2">
        <v>98.442333333333323</v>
      </c>
      <c r="AS6" s="2">
        <v>10.790000000000001</v>
      </c>
      <c r="AT6" s="2">
        <v>37.212666666666664</v>
      </c>
      <c r="AU6" s="2">
        <v>13.825333333333333</v>
      </c>
      <c r="AV6" s="2">
        <v>2.4996666666666671</v>
      </c>
      <c r="AW6" s="2">
        <v>27.042999999999999</v>
      </c>
      <c r="AX6" s="2">
        <v>3.2673333333333332</v>
      </c>
      <c r="AY6" s="2">
        <v>7.945666666666666</v>
      </c>
      <c r="AZ6" s="2">
        <v>11.933333333333334</v>
      </c>
      <c r="BA6" s="2">
        <v>9.445333333333334</v>
      </c>
      <c r="BB6" s="2">
        <v>4.182666666666667</v>
      </c>
      <c r="BC6" s="2">
        <v>13.429133333333333</v>
      </c>
      <c r="BD6" s="2">
        <v>38.454333333333331</v>
      </c>
      <c r="BE6" s="2">
        <v>7.8523333333333332</v>
      </c>
      <c r="BF6" s="2">
        <v>8.3762333333333316</v>
      </c>
      <c r="BG6" s="2">
        <v>22.154666666666664</v>
      </c>
      <c r="BH6" s="2">
        <v>4.7246666666666668</v>
      </c>
      <c r="BI6" s="2">
        <v>40.276999999999994</v>
      </c>
      <c r="BJ6" s="2">
        <v>31.65</v>
      </c>
      <c r="BK6" s="2">
        <v>7.8053333333333335</v>
      </c>
      <c r="BL6" s="2">
        <v>16.880666666666666</v>
      </c>
      <c r="BM6" s="2">
        <v>17.585000000000001</v>
      </c>
      <c r="BN6" s="2">
        <v>7.2390000000000008</v>
      </c>
      <c r="BO6" s="2">
        <v>17.382666666666665</v>
      </c>
      <c r="BP6" s="2">
        <v>8.923</v>
      </c>
      <c r="BQ6" s="2">
        <v>11.706333333333333</v>
      </c>
      <c r="BR6" s="2">
        <v>5.1130000000000004</v>
      </c>
      <c r="BS6" s="2">
        <v>8.5026666666666664</v>
      </c>
      <c r="BT6" s="2">
        <v>5.7389999999999999</v>
      </c>
      <c r="BU6" s="29">
        <v>2.7527039999999992</v>
      </c>
      <c r="BV6" s="29">
        <v>2.7426239999999993</v>
      </c>
      <c r="BW6" s="29">
        <v>15.851808000000002</v>
      </c>
      <c r="BX6" s="29">
        <v>1.342368</v>
      </c>
      <c r="BY6" s="30">
        <v>3.714048</v>
      </c>
    </row>
    <row r="7" spans="1:77" x14ac:dyDescent="0.35">
      <c r="A7" s="12" t="s">
        <v>5</v>
      </c>
      <c r="B7" s="3">
        <v>34.680999999999997</v>
      </c>
      <c r="C7" s="2">
        <v>43.610333333333337</v>
      </c>
      <c r="D7" s="2">
        <v>21.313666666666666</v>
      </c>
      <c r="E7" s="2">
        <v>2.2648666666666664</v>
      </c>
      <c r="F7" s="2">
        <v>20.440000000000001</v>
      </c>
      <c r="G7" s="2">
        <v>4.3150999999999993</v>
      </c>
      <c r="H7" s="2">
        <v>4.9666666666666668</v>
      </c>
      <c r="I7" s="2">
        <v>25.795000000000002</v>
      </c>
      <c r="J7" s="2">
        <v>15.965666666666667</v>
      </c>
      <c r="K7" s="2">
        <v>20.75</v>
      </c>
      <c r="L7" s="2">
        <v>12.667666666666667</v>
      </c>
      <c r="M7" s="2">
        <v>145.96933333333337</v>
      </c>
      <c r="N7" s="2">
        <v>13.178666666666667</v>
      </c>
      <c r="O7" s="2">
        <v>23.055333333333337</v>
      </c>
      <c r="P7" s="2">
        <v>32.04163333333333</v>
      </c>
      <c r="Q7" s="2">
        <v>22.117333333333335</v>
      </c>
      <c r="R7" s="2">
        <v>26.916000000000004</v>
      </c>
      <c r="S7" s="2">
        <v>30.176499999999997</v>
      </c>
      <c r="T7" s="2">
        <v>7.6003333333333334</v>
      </c>
      <c r="U7" s="2">
        <v>25.354000000000003</v>
      </c>
      <c r="V7" s="2">
        <v>14.109299999999999</v>
      </c>
      <c r="W7" s="2">
        <v>90.791666666666671</v>
      </c>
      <c r="X7" s="2">
        <v>44.857333333333337</v>
      </c>
      <c r="Y7" s="2">
        <v>58.049333333333337</v>
      </c>
      <c r="Z7" s="2">
        <v>50.136333333333333</v>
      </c>
      <c r="AA7" s="2">
        <v>20.942999999999994</v>
      </c>
      <c r="AB7" s="2">
        <v>35.916666666666671</v>
      </c>
      <c r="AC7" s="2">
        <v>29.269666666666666</v>
      </c>
      <c r="AD7" s="2">
        <v>33.598666666666666</v>
      </c>
      <c r="AE7" s="2">
        <v>133.76233333333334</v>
      </c>
      <c r="AF7" s="2">
        <v>6.5989666666666666</v>
      </c>
      <c r="AG7" s="2">
        <v>158.31266666666667</v>
      </c>
      <c r="AH7" s="2">
        <v>41.127666666666656</v>
      </c>
      <c r="AI7" s="2">
        <v>15.104333333333335</v>
      </c>
      <c r="AJ7" s="2">
        <v>59.998666666666672</v>
      </c>
      <c r="AK7" s="2">
        <v>25.101666666666663</v>
      </c>
      <c r="AL7" s="2">
        <v>93.703666666666663</v>
      </c>
      <c r="AM7" s="2">
        <v>116.99466666666667</v>
      </c>
      <c r="AN7" s="2">
        <v>39.595333333333336</v>
      </c>
      <c r="AO7" s="2">
        <v>13.882000000000001</v>
      </c>
      <c r="AP7" s="2">
        <v>9.1223333333333336</v>
      </c>
      <c r="AQ7" s="2">
        <v>23.736999999999998</v>
      </c>
      <c r="AR7" s="2">
        <v>154.9783333333333</v>
      </c>
      <c r="AS7" s="2">
        <v>73.303333333333327</v>
      </c>
      <c r="AT7" s="2">
        <v>11.417000000000002</v>
      </c>
      <c r="AU7" s="2">
        <v>4.5990000000000002</v>
      </c>
      <c r="AV7" s="2">
        <v>3.4903999999999997</v>
      </c>
      <c r="AW7" s="2">
        <v>20.818000000000001</v>
      </c>
      <c r="AX7" s="2">
        <v>3.4182999999999999</v>
      </c>
      <c r="AY7" s="2">
        <v>54.795999999999999</v>
      </c>
      <c r="AZ7" s="2">
        <v>36.701999999999998</v>
      </c>
      <c r="BA7" s="2">
        <v>2.9693333333333336</v>
      </c>
      <c r="BB7" s="2">
        <v>5.776133333333334</v>
      </c>
      <c r="BC7" s="2">
        <v>17.872333333333334</v>
      </c>
      <c r="BD7" s="2">
        <v>28.566000000000003</v>
      </c>
      <c r="BE7" s="2">
        <v>5.6681333333333326</v>
      </c>
      <c r="BF7" s="2">
        <v>1.7103333333333333</v>
      </c>
      <c r="BG7" s="2">
        <v>27.17133333333333</v>
      </c>
      <c r="BH7" s="2">
        <v>3.4215333333333331</v>
      </c>
      <c r="BI7" s="2">
        <v>40.359333333333325</v>
      </c>
      <c r="BJ7" s="2">
        <v>21.576000000000001</v>
      </c>
      <c r="BK7" s="2">
        <v>14.810666666666666</v>
      </c>
      <c r="BL7" s="2">
        <v>6.2493333333333334</v>
      </c>
      <c r="BM7" s="2">
        <v>41.466666666666669</v>
      </c>
      <c r="BN7" s="2">
        <v>51.552333333333323</v>
      </c>
      <c r="BO7" s="2">
        <v>15.294666666666666</v>
      </c>
      <c r="BP7" s="2">
        <v>10.560666666666668</v>
      </c>
      <c r="BQ7" s="2">
        <v>8.9223333333333326</v>
      </c>
      <c r="BR7" s="2">
        <v>1.99</v>
      </c>
      <c r="BS7" s="2">
        <v>19.286666666666669</v>
      </c>
      <c r="BT7" s="2">
        <v>11.656666666666666</v>
      </c>
      <c r="BU7" s="29">
        <v>11.536992</v>
      </c>
      <c r="BV7" s="29">
        <v>1.4958719999999996</v>
      </c>
      <c r="BW7" s="29">
        <v>4.4210880000000019</v>
      </c>
      <c r="BX7" s="29">
        <v>8.3790720000000007</v>
      </c>
      <c r="BY7" s="30">
        <v>7.0295040000000002</v>
      </c>
    </row>
    <row r="8" spans="1:77" x14ac:dyDescent="0.35">
      <c r="A8" s="12" t="s">
        <v>6</v>
      </c>
      <c r="B8" s="3">
        <v>45.950999999999993</v>
      </c>
      <c r="C8" s="2">
        <v>24.716333333333335</v>
      </c>
      <c r="D8" s="2">
        <v>83.844433333333328</v>
      </c>
      <c r="E8" s="2">
        <v>7.1645999999999992</v>
      </c>
      <c r="F8" s="2">
        <v>14.694666666666668</v>
      </c>
      <c r="G8" s="2">
        <v>31.855</v>
      </c>
      <c r="H8" s="2">
        <v>4.3123333333333331</v>
      </c>
      <c r="I8" s="2">
        <v>6.8003333333333327</v>
      </c>
      <c r="J8" s="2">
        <v>10.730666666666666</v>
      </c>
      <c r="K8" s="2">
        <v>33.514000000000003</v>
      </c>
      <c r="L8" s="2">
        <v>57.389333333333333</v>
      </c>
      <c r="M8" s="2">
        <v>50.521999999999998</v>
      </c>
      <c r="N8" s="2">
        <v>26.393333333333331</v>
      </c>
      <c r="O8" s="2">
        <v>26.327333333333335</v>
      </c>
      <c r="P8" s="2">
        <v>11.560333333333332</v>
      </c>
      <c r="Q8" s="2">
        <v>6.7518666666666656</v>
      </c>
      <c r="R8" s="2">
        <v>18.415666666666667</v>
      </c>
      <c r="S8" s="2">
        <v>23.038933333333333</v>
      </c>
      <c r="T8" s="2">
        <v>65.362666666666669</v>
      </c>
      <c r="U8" s="2">
        <v>35.469333333333338</v>
      </c>
      <c r="V8" s="2">
        <v>13.788466666666666</v>
      </c>
      <c r="W8" s="2">
        <v>207.35233333333332</v>
      </c>
      <c r="X8" s="2">
        <v>45.93933333333333</v>
      </c>
      <c r="Y8" s="2">
        <v>60.76133333333334</v>
      </c>
      <c r="Z8" s="2">
        <v>17.987400000000001</v>
      </c>
      <c r="AA8" s="2">
        <v>202.02833333333331</v>
      </c>
      <c r="AB8" s="2">
        <v>398.2286666666667</v>
      </c>
      <c r="AC8" s="2">
        <v>29.73833333333333</v>
      </c>
      <c r="AD8" s="2">
        <v>21.407666666666664</v>
      </c>
      <c r="AE8" s="2">
        <v>66.35199999999999</v>
      </c>
      <c r="AF8" s="2">
        <v>8.7548333333333321</v>
      </c>
      <c r="AG8" s="2">
        <v>86.44</v>
      </c>
      <c r="AH8" s="2">
        <v>19.835666666666668</v>
      </c>
      <c r="AI8" s="2">
        <v>9.0078000000000014</v>
      </c>
      <c r="AJ8" s="2">
        <v>39.049266666666668</v>
      </c>
      <c r="AK8" s="2">
        <v>29.02566666666667</v>
      </c>
      <c r="AL8" s="2">
        <v>49.099000000000004</v>
      </c>
      <c r="AM8" s="2">
        <v>100.246</v>
      </c>
      <c r="AN8" s="2">
        <v>54.94733333333334</v>
      </c>
      <c r="AO8" s="2">
        <v>16.674333333333333</v>
      </c>
      <c r="AP8" s="2">
        <v>79.352333333333334</v>
      </c>
      <c r="AQ8" s="2">
        <v>54.138333333333328</v>
      </c>
      <c r="AR8" s="2">
        <v>103.163</v>
      </c>
      <c r="AS8" s="2">
        <v>109.84033333333333</v>
      </c>
      <c r="AT8" s="2">
        <v>11.943999999999999</v>
      </c>
      <c r="AU8" s="2">
        <v>3.411</v>
      </c>
      <c r="AV8" s="2">
        <v>4.396233333333333</v>
      </c>
      <c r="AW8" s="2">
        <v>14.099999999999998</v>
      </c>
      <c r="AX8" s="2">
        <v>4.9690333333333339</v>
      </c>
      <c r="AY8" s="2">
        <v>31.756333333333334</v>
      </c>
      <c r="AZ8" s="2">
        <v>7.160000000000001</v>
      </c>
      <c r="BA8" s="2">
        <v>4.0936666666666666</v>
      </c>
      <c r="BB8" s="2">
        <v>32.74133333333333</v>
      </c>
      <c r="BC8" s="2">
        <v>22.435666666666663</v>
      </c>
      <c r="BD8" s="2">
        <v>32.105999999999995</v>
      </c>
      <c r="BE8" s="2">
        <v>22.891999999999999</v>
      </c>
      <c r="BF8" s="2">
        <v>4.011333333333333</v>
      </c>
      <c r="BG8" s="2">
        <v>38.379333333333335</v>
      </c>
      <c r="BH8" s="2">
        <v>18.346</v>
      </c>
      <c r="BI8" s="2">
        <v>10.902000000000001</v>
      </c>
      <c r="BJ8" s="2">
        <v>1384.0203333333334</v>
      </c>
      <c r="BK8" s="2">
        <v>29.021000000000001</v>
      </c>
      <c r="BL8" s="2">
        <v>22.758666666666667</v>
      </c>
      <c r="BM8" s="2">
        <v>79.710999999999999</v>
      </c>
      <c r="BN8" s="2">
        <v>7.4523333333333337</v>
      </c>
      <c r="BO8" s="2">
        <v>21.304000000000002</v>
      </c>
      <c r="BP8" s="2">
        <v>4.4933333333333332</v>
      </c>
      <c r="BQ8" s="2">
        <v>31.306233333333328</v>
      </c>
      <c r="BR8" s="2">
        <v>3.8206666666666669</v>
      </c>
      <c r="BS8" s="2">
        <v>6.5766666666666662</v>
      </c>
      <c r="BT8" s="2">
        <v>17.423666666666669</v>
      </c>
      <c r="BU8" s="29">
        <v>11.148192</v>
      </c>
      <c r="BV8" s="29">
        <v>2.7599040000000001</v>
      </c>
      <c r="BW8" s="29">
        <v>2.3598720000000002</v>
      </c>
      <c r="BX8" s="29">
        <v>9.4968000000000004</v>
      </c>
      <c r="BY8" s="30">
        <v>38.092896000000003</v>
      </c>
    </row>
    <row r="9" spans="1:77" x14ac:dyDescent="0.35">
      <c r="A9" s="12" t="s">
        <v>7</v>
      </c>
      <c r="B9" s="3">
        <v>31.381666666666661</v>
      </c>
      <c r="C9" s="2">
        <v>13.997033333333331</v>
      </c>
      <c r="D9" s="2">
        <v>8.3869333333333351</v>
      </c>
      <c r="E9" s="2">
        <v>145.845</v>
      </c>
      <c r="F9" s="2">
        <v>58.384106666666675</v>
      </c>
      <c r="G9" s="2">
        <v>76.773666666666671</v>
      </c>
      <c r="H9" s="2">
        <v>10.3384</v>
      </c>
      <c r="I9" s="2">
        <v>18.767066666666665</v>
      </c>
      <c r="J9" s="2">
        <v>7.883</v>
      </c>
      <c r="K9" s="2">
        <v>64.218333333333334</v>
      </c>
      <c r="L9" s="2">
        <v>92.717333333333343</v>
      </c>
      <c r="M9" s="2">
        <v>44.652333333333338</v>
      </c>
      <c r="N9" s="2">
        <v>8.1063333333333336</v>
      </c>
      <c r="O9" s="2">
        <v>26.521000000000004</v>
      </c>
      <c r="P9" s="2">
        <v>28.019333333333332</v>
      </c>
      <c r="Q9" s="2">
        <v>23.075333333333333</v>
      </c>
      <c r="R9" s="2">
        <v>119.70873333333331</v>
      </c>
      <c r="S9" s="2">
        <v>41.023299999999999</v>
      </c>
      <c r="T9" s="2">
        <v>54.641266666666667</v>
      </c>
      <c r="U9" s="2">
        <v>33.224666666666664</v>
      </c>
      <c r="V9" s="2">
        <v>23.602333333333331</v>
      </c>
      <c r="W9" s="2">
        <v>145.9853333333333</v>
      </c>
      <c r="X9" s="2">
        <v>78.984000000000009</v>
      </c>
      <c r="Y9" s="2">
        <v>110.60166666666667</v>
      </c>
      <c r="Z9" s="2">
        <v>23.281366666666663</v>
      </c>
      <c r="AA9" s="2">
        <v>58.582666666666668</v>
      </c>
      <c r="AB9" s="2">
        <v>221.726</v>
      </c>
      <c r="AC9" s="2">
        <v>37.325333333333333</v>
      </c>
      <c r="AD9" s="2">
        <v>86.407999999999987</v>
      </c>
      <c r="AE9" s="2">
        <v>63.521666666666661</v>
      </c>
      <c r="AF9" s="2">
        <v>137.471</v>
      </c>
      <c r="AG9" s="2">
        <v>65.391666666666666</v>
      </c>
      <c r="AH9" s="2">
        <v>19.334666666666671</v>
      </c>
      <c r="AI9" s="2">
        <v>31.240666666666662</v>
      </c>
      <c r="AJ9" s="2">
        <v>71.968066666666658</v>
      </c>
      <c r="AK9" s="2">
        <v>23.5779</v>
      </c>
      <c r="AL9" s="2">
        <v>51.003333333333337</v>
      </c>
      <c r="AM9" s="2">
        <v>81.012666666666661</v>
      </c>
      <c r="AN9" s="2">
        <v>92.776333333333341</v>
      </c>
      <c r="AO9" s="2">
        <v>40.142299999999999</v>
      </c>
      <c r="AP9" s="2">
        <v>252.214</v>
      </c>
      <c r="AQ9" s="2">
        <v>154.36866666666666</v>
      </c>
      <c r="AR9" s="2">
        <v>65.414333333333332</v>
      </c>
      <c r="AS9" s="2">
        <v>28.676000000000002</v>
      </c>
      <c r="AT9" s="2">
        <v>7.0940000000000003</v>
      </c>
      <c r="AU9" s="2">
        <v>3.1946666666666665</v>
      </c>
      <c r="AV9" s="2">
        <v>26.080000000000002</v>
      </c>
      <c r="AW9" s="2">
        <v>6.3372999999999999</v>
      </c>
      <c r="AX9" s="2">
        <v>55.972333333333331</v>
      </c>
      <c r="AY9" s="2">
        <v>49.677666666666667</v>
      </c>
      <c r="AZ9" s="2">
        <v>5.1733333333333329</v>
      </c>
      <c r="BA9" s="2">
        <v>7.1646666666666663</v>
      </c>
      <c r="BB9" s="2">
        <v>9.6965333333333348</v>
      </c>
      <c r="BC9" s="2">
        <v>14.687333333333335</v>
      </c>
      <c r="BD9" s="2">
        <v>36.967000000000006</v>
      </c>
      <c r="BE9" s="2">
        <v>51.454333333333331</v>
      </c>
      <c r="BF9" s="2">
        <v>13.730000000000002</v>
      </c>
      <c r="BG9" s="2">
        <v>40.891666666666673</v>
      </c>
      <c r="BH9" s="2">
        <v>55.592666666666666</v>
      </c>
      <c r="BI9" s="2">
        <v>8.1690000000000005</v>
      </c>
      <c r="BJ9" s="2">
        <v>308.25733333333335</v>
      </c>
      <c r="BK9" s="2">
        <v>10.685666666666666</v>
      </c>
      <c r="BL9" s="2">
        <v>8.6678666666666668</v>
      </c>
      <c r="BM9" s="2">
        <v>97.074333333333342</v>
      </c>
      <c r="BN9" s="2">
        <v>12.750666666666667</v>
      </c>
      <c r="BO9" s="2">
        <v>9.2816666666666645</v>
      </c>
      <c r="BP9" s="2">
        <v>31.828333333333333</v>
      </c>
      <c r="BQ9" s="2">
        <v>119.72526666666666</v>
      </c>
      <c r="BR9" s="2">
        <v>8.1896666666666658</v>
      </c>
      <c r="BS9" s="2">
        <v>3.4729533333333338</v>
      </c>
      <c r="BT9" s="2">
        <v>15.447456000000003</v>
      </c>
      <c r="BU9" s="29">
        <v>10.776960000000004</v>
      </c>
      <c r="BV9" s="29">
        <v>51.877152000000009</v>
      </c>
      <c r="BW9" s="29">
        <v>4.4668799999999997</v>
      </c>
      <c r="BX9" s="29">
        <v>1.9598400000000002</v>
      </c>
      <c r="BY9" s="30">
        <v>7.4142720000000004</v>
      </c>
    </row>
    <row r="10" spans="1:77" x14ac:dyDescent="0.35">
      <c r="A10" s="12" t="s">
        <v>8</v>
      </c>
      <c r="B10" s="3">
        <v>47.603999999999999</v>
      </c>
      <c r="C10" s="2">
        <v>51.38600000000001</v>
      </c>
      <c r="D10" s="2">
        <v>8.8262666666666654</v>
      </c>
      <c r="E10" s="2">
        <v>88.957999999999998</v>
      </c>
      <c r="F10" s="2">
        <v>26.690333333333335</v>
      </c>
      <c r="G10" s="2">
        <v>89.918666666666667</v>
      </c>
      <c r="H10" s="2">
        <v>28.373333333333335</v>
      </c>
      <c r="I10" s="2">
        <v>16.069766666666666</v>
      </c>
      <c r="J10" s="2">
        <v>547.2299999999999</v>
      </c>
      <c r="K10" s="2">
        <v>67.01700000000001</v>
      </c>
      <c r="L10" s="2">
        <v>56.957333333333338</v>
      </c>
      <c r="M10" s="2">
        <v>44.00533333333334</v>
      </c>
      <c r="N10" s="2">
        <v>61.954333333333324</v>
      </c>
      <c r="O10" s="2">
        <v>60.123000000000005</v>
      </c>
      <c r="P10" s="2">
        <v>130.947</v>
      </c>
      <c r="Q10" s="2">
        <v>34.843533333333333</v>
      </c>
      <c r="R10" s="2">
        <v>263.18299999999999</v>
      </c>
      <c r="S10" s="2">
        <v>283.48466666666673</v>
      </c>
      <c r="T10" s="2">
        <v>212.75123333333332</v>
      </c>
      <c r="U10" s="2">
        <v>30.240666666666666</v>
      </c>
      <c r="V10" s="2">
        <v>75.63</v>
      </c>
      <c r="W10" s="2">
        <v>391.67833333333328</v>
      </c>
      <c r="X10" s="2">
        <v>138.04733333333331</v>
      </c>
      <c r="Y10" s="2">
        <v>102.26666666666668</v>
      </c>
      <c r="Z10" s="2">
        <v>169.81299999999999</v>
      </c>
      <c r="AA10" s="2">
        <v>66.837000000000003</v>
      </c>
      <c r="AB10" s="2">
        <v>129.13433333333333</v>
      </c>
      <c r="AC10" s="2">
        <v>15.400666666666668</v>
      </c>
      <c r="AD10" s="2">
        <v>271.42499999999995</v>
      </c>
      <c r="AE10" s="2">
        <v>20.350999999999999</v>
      </c>
      <c r="AF10" s="2">
        <v>82.674999999999983</v>
      </c>
      <c r="AG10" s="2">
        <v>130.76633333333331</v>
      </c>
      <c r="AH10" s="2">
        <v>17.886999999999997</v>
      </c>
      <c r="AI10" s="2">
        <v>18.541</v>
      </c>
      <c r="AJ10" s="2">
        <v>32.996499999999997</v>
      </c>
      <c r="AK10" s="2">
        <v>48.342500000000001</v>
      </c>
      <c r="AL10" s="2">
        <v>193.94499999999999</v>
      </c>
      <c r="AM10" s="2">
        <v>70.666666666666671</v>
      </c>
      <c r="AN10" s="2">
        <v>233.35166666666669</v>
      </c>
      <c r="AO10" s="2">
        <v>32.31</v>
      </c>
      <c r="AP10" s="2">
        <v>188.00733333333335</v>
      </c>
      <c r="AQ10" s="2">
        <v>463.3003333333333</v>
      </c>
      <c r="AR10" s="2">
        <v>38.960666666666668</v>
      </c>
      <c r="AS10" s="2">
        <v>33.805333333333337</v>
      </c>
      <c r="AT10" s="2">
        <v>15.629666666666665</v>
      </c>
      <c r="AU10" s="2">
        <v>39.516666666666666</v>
      </c>
      <c r="AV10" s="2">
        <v>22.096666666666668</v>
      </c>
      <c r="AW10" s="2">
        <v>6.3536666666666664</v>
      </c>
      <c r="AX10" s="2">
        <v>29.671666666666663</v>
      </c>
      <c r="AY10" s="2">
        <v>24.325333333333333</v>
      </c>
      <c r="AZ10" s="2">
        <v>4.3646666666666665</v>
      </c>
      <c r="BA10" s="2">
        <v>26.552</v>
      </c>
      <c r="BB10" s="2">
        <v>12.338966666666668</v>
      </c>
      <c r="BC10" s="2">
        <v>27.932666666666663</v>
      </c>
      <c r="BD10" s="2">
        <v>59.366333333333323</v>
      </c>
      <c r="BE10" s="2">
        <v>5.9833333333333343</v>
      </c>
      <c r="BF10" s="2">
        <v>116.55366666666666</v>
      </c>
      <c r="BG10" s="2">
        <v>57.263333333333335</v>
      </c>
      <c r="BH10" s="2">
        <v>694.80100000000016</v>
      </c>
      <c r="BI10" s="2">
        <v>12.736333333333334</v>
      </c>
      <c r="BJ10" s="2">
        <v>240.26933333333332</v>
      </c>
      <c r="BK10" s="2">
        <v>10.918153333333333</v>
      </c>
      <c r="BL10" s="2">
        <v>23.492700000000003</v>
      </c>
      <c r="BM10" s="2">
        <v>134.41133333333335</v>
      </c>
      <c r="BN10" s="2">
        <v>114.15300000000001</v>
      </c>
      <c r="BO10" s="2">
        <v>11.057</v>
      </c>
      <c r="BP10" s="2">
        <v>60.573333333333323</v>
      </c>
      <c r="BQ10" s="2">
        <v>155.29333333333335</v>
      </c>
      <c r="BR10" s="2">
        <v>78.919666666666672</v>
      </c>
      <c r="BS10" s="2">
        <v>11.874000000000001</v>
      </c>
      <c r="BT10" s="2">
        <v>39.486815999999997</v>
      </c>
      <c r="BU10" s="29">
        <v>1.9892160000000003</v>
      </c>
      <c r="BV10" s="29">
        <v>185.77468800000005</v>
      </c>
      <c r="BW10" s="29">
        <v>9.9705600000000025</v>
      </c>
      <c r="BX10" s="29">
        <v>20.758464000000004</v>
      </c>
      <c r="BY10" s="30">
        <v>13.631328000000003</v>
      </c>
    </row>
    <row r="11" spans="1:77" x14ac:dyDescent="0.35">
      <c r="A11" s="12" t="s">
        <v>9</v>
      </c>
      <c r="B11" s="3">
        <v>33.739666666666665</v>
      </c>
      <c r="C11" s="2">
        <v>37.144266666666667</v>
      </c>
      <c r="D11" s="2">
        <v>5.7888666666666664</v>
      </c>
      <c r="E11" s="2">
        <v>18.384633333333333</v>
      </c>
      <c r="F11" s="2">
        <v>23.191333333333333</v>
      </c>
      <c r="G11" s="2">
        <v>57.270666666666671</v>
      </c>
      <c r="H11" s="2">
        <v>10.564533333333333</v>
      </c>
      <c r="I11" s="2">
        <v>34.073333333333323</v>
      </c>
      <c r="J11" s="2">
        <v>693.99266666666665</v>
      </c>
      <c r="K11" s="2">
        <v>25.815000000000001</v>
      </c>
      <c r="L11" s="2">
        <v>38.544333333333327</v>
      </c>
      <c r="M11" s="2">
        <v>38.237666666666662</v>
      </c>
      <c r="N11" s="2">
        <v>35.06</v>
      </c>
      <c r="O11" s="2">
        <v>27.005000000000003</v>
      </c>
      <c r="P11" s="2">
        <v>60.314666666666668</v>
      </c>
      <c r="Q11" s="2">
        <v>15.999000000000002</v>
      </c>
      <c r="R11" s="2">
        <v>38.671333333333337</v>
      </c>
      <c r="S11" s="2">
        <v>69.175000000000011</v>
      </c>
      <c r="T11" s="2">
        <v>94.677866666666674</v>
      </c>
      <c r="U11" s="2">
        <v>46.107666666666667</v>
      </c>
      <c r="V11" s="2">
        <v>90.287666666666667</v>
      </c>
      <c r="W11" s="2">
        <v>304.55966666666666</v>
      </c>
      <c r="X11" s="2">
        <v>53.298333333333332</v>
      </c>
      <c r="Y11" s="2">
        <v>85.966666666666669</v>
      </c>
      <c r="Z11" s="2">
        <v>117.92</v>
      </c>
      <c r="AA11" s="2">
        <v>39.456999999999994</v>
      </c>
      <c r="AB11" s="2">
        <v>88.524000000000001</v>
      </c>
      <c r="AC11" s="2">
        <v>25.831000000000003</v>
      </c>
      <c r="AD11" s="2">
        <v>357.53266666666661</v>
      </c>
      <c r="AE11" s="2">
        <v>14.542666666666667</v>
      </c>
      <c r="AF11" s="2">
        <v>59.574999999999996</v>
      </c>
      <c r="AG11" s="2">
        <v>90.227999999999994</v>
      </c>
      <c r="AH11" s="2">
        <v>12.696999999999999</v>
      </c>
      <c r="AI11" s="2">
        <v>30.929999999999993</v>
      </c>
      <c r="AJ11" s="2">
        <v>43.447333333333333</v>
      </c>
      <c r="AK11" s="2">
        <v>62.447000000000003</v>
      </c>
      <c r="AL11" s="2">
        <v>87.192666666666668</v>
      </c>
      <c r="AM11" s="2">
        <v>60.253333333333337</v>
      </c>
      <c r="AN11" s="2">
        <v>121.44766666666666</v>
      </c>
      <c r="AO11" s="2">
        <v>30.402000000000005</v>
      </c>
      <c r="AP11" s="2">
        <v>204.54066666666668</v>
      </c>
      <c r="AQ11" s="2">
        <v>121.27133333333333</v>
      </c>
      <c r="AR11" s="2">
        <v>26.634333333333334</v>
      </c>
      <c r="AS11" s="2">
        <v>22.029999999999998</v>
      </c>
      <c r="AT11" s="2">
        <v>6.918333333333333</v>
      </c>
      <c r="AU11" s="2">
        <v>4.0376666666666665</v>
      </c>
      <c r="AV11" s="2">
        <v>48.862333333333332</v>
      </c>
      <c r="AW11" s="2">
        <v>15.853666666666667</v>
      </c>
      <c r="AX11" s="2">
        <v>10.344666666666667</v>
      </c>
      <c r="AY11" s="2">
        <v>18.702333333333332</v>
      </c>
      <c r="AZ11" s="2">
        <v>18.322333333333333</v>
      </c>
      <c r="BA11" s="2">
        <v>1.9813666666666667</v>
      </c>
      <c r="BB11" s="2">
        <v>67.045666666666676</v>
      </c>
      <c r="BC11" s="2">
        <v>118.23433333333332</v>
      </c>
      <c r="BD11" s="2">
        <v>39.120333333333335</v>
      </c>
      <c r="BE11" s="2">
        <v>74.480666666666679</v>
      </c>
      <c r="BF11" s="2">
        <v>35.277499999999996</v>
      </c>
      <c r="BG11" s="2">
        <v>21.859666666666666</v>
      </c>
      <c r="BH11" s="2">
        <v>390.44133333333332</v>
      </c>
      <c r="BI11" s="2">
        <v>35.182333333333332</v>
      </c>
      <c r="BJ11" s="2">
        <v>177.29233333333332</v>
      </c>
      <c r="BK11" s="2">
        <v>8.0860000000000003</v>
      </c>
      <c r="BL11" s="2">
        <v>15.417000000000002</v>
      </c>
      <c r="BM11" s="2">
        <v>70.525000000000006</v>
      </c>
      <c r="BN11" s="2">
        <v>52.765666666666668</v>
      </c>
      <c r="BO11" s="2">
        <v>33.713666666666661</v>
      </c>
      <c r="BP11" s="2">
        <v>37.74133333333333</v>
      </c>
      <c r="BQ11" s="2">
        <v>191.72533333333331</v>
      </c>
      <c r="BR11" s="2">
        <v>66.762999999999991</v>
      </c>
      <c r="BS11" s="2">
        <v>13.446533333333333</v>
      </c>
      <c r="BT11" s="2">
        <v>25.098336000000007</v>
      </c>
      <c r="BU11" s="29">
        <v>2.8224</v>
      </c>
      <c r="BV11" s="29">
        <v>53.274816000000008</v>
      </c>
      <c r="BW11" s="29">
        <v>3.6959040000000001</v>
      </c>
      <c r="BX11" s="29">
        <v>4.2704639999999996</v>
      </c>
      <c r="BY11" s="46">
        <v>3.3033600000000001</v>
      </c>
    </row>
    <row r="12" spans="1:77" x14ac:dyDescent="0.35">
      <c r="A12" s="12" t="s">
        <v>10</v>
      </c>
      <c r="B12" s="3">
        <v>19.744666666666667</v>
      </c>
      <c r="C12" s="2">
        <v>12.535099999999998</v>
      </c>
      <c r="D12" s="2">
        <v>5.0436333333333332</v>
      </c>
      <c r="E12" s="2">
        <v>7.5943666666666667</v>
      </c>
      <c r="F12" s="2">
        <v>10.633999999999999</v>
      </c>
      <c r="G12" s="2">
        <v>13.988666666666665</v>
      </c>
      <c r="H12" s="2">
        <v>8.7968666666666664</v>
      </c>
      <c r="I12" s="2">
        <v>10.600433333333333</v>
      </c>
      <c r="J12" s="2">
        <v>238.42899999999997</v>
      </c>
      <c r="K12" s="2">
        <v>23.203000000000003</v>
      </c>
      <c r="L12" s="2">
        <v>31.432666666666666</v>
      </c>
      <c r="M12" s="2">
        <v>22.602666666666664</v>
      </c>
      <c r="N12" s="2">
        <v>17.137666666666664</v>
      </c>
      <c r="O12" s="2">
        <v>14.479099999999999</v>
      </c>
      <c r="P12" s="2">
        <v>24.376333333333335</v>
      </c>
      <c r="Q12" s="2">
        <v>19.506333333333334</v>
      </c>
      <c r="R12" s="2">
        <v>18.527333333333331</v>
      </c>
      <c r="S12" s="2">
        <v>36.92966666666667</v>
      </c>
      <c r="T12" s="2">
        <v>57.214466666666659</v>
      </c>
      <c r="U12" s="2">
        <v>20.502000000000002</v>
      </c>
      <c r="V12" s="2">
        <v>44.771999999999998</v>
      </c>
      <c r="W12" s="2">
        <v>123.41366666666667</v>
      </c>
      <c r="X12" s="2">
        <v>27.500666666666667</v>
      </c>
      <c r="Y12" s="2">
        <v>35.682000000000002</v>
      </c>
      <c r="Z12" s="2">
        <v>44.457666666666668</v>
      </c>
      <c r="AA12" s="2">
        <v>31.446666666666665</v>
      </c>
      <c r="AB12" s="2">
        <v>88.875999999999991</v>
      </c>
      <c r="AC12" s="2">
        <v>14.580333333333332</v>
      </c>
      <c r="AD12" s="2">
        <v>153.23433333333332</v>
      </c>
      <c r="AE12" s="2">
        <v>12.941666666666666</v>
      </c>
      <c r="AF12" s="2">
        <v>33.235666666666667</v>
      </c>
      <c r="AG12" s="2">
        <v>43.532333333333334</v>
      </c>
      <c r="AH12" s="2">
        <v>10.094333333333333</v>
      </c>
      <c r="AI12" s="2">
        <v>34.212333333333326</v>
      </c>
      <c r="AJ12" s="2">
        <v>13.237666666666668</v>
      </c>
      <c r="AK12" s="2">
        <v>19.581</v>
      </c>
      <c r="AL12" s="2">
        <v>43.198666666666668</v>
      </c>
      <c r="AM12" s="2">
        <v>33.403999999999996</v>
      </c>
      <c r="AN12" s="2">
        <v>71.858666666666664</v>
      </c>
      <c r="AO12" s="2">
        <v>13.260000000000002</v>
      </c>
      <c r="AP12" s="2">
        <v>76.760666666666665</v>
      </c>
      <c r="AQ12" s="2">
        <v>21.611000000000001</v>
      </c>
      <c r="AR12" s="2">
        <v>24.184999999999999</v>
      </c>
      <c r="AS12" s="2">
        <v>17.133666666666667</v>
      </c>
      <c r="AT12" s="2">
        <v>4.0783333333333331</v>
      </c>
      <c r="AU12" s="2">
        <v>3.9256666666666664</v>
      </c>
      <c r="AV12" s="2">
        <v>3.7053333333333334</v>
      </c>
      <c r="AW12" s="2">
        <v>12.553000000000003</v>
      </c>
      <c r="AX12" s="2">
        <v>5.4343333333333339</v>
      </c>
      <c r="AY12" s="2">
        <v>10.962</v>
      </c>
      <c r="AZ12" s="2">
        <v>11.116</v>
      </c>
      <c r="BA12" s="2">
        <v>1.9138666666666668</v>
      </c>
      <c r="BB12" s="2">
        <v>12.912000000000001</v>
      </c>
      <c r="BC12" s="2">
        <v>21.434000000000001</v>
      </c>
      <c r="BD12" s="2">
        <v>53.035000000000004</v>
      </c>
      <c r="BE12" s="2">
        <v>20.134666666666668</v>
      </c>
      <c r="BF12" s="2">
        <v>4.952</v>
      </c>
      <c r="BG12" s="2">
        <v>8.31</v>
      </c>
      <c r="BH12" s="2">
        <v>111.00766666666667</v>
      </c>
      <c r="BI12" s="2">
        <v>8.6086666666666662</v>
      </c>
      <c r="BJ12" s="2">
        <v>51.307000000000002</v>
      </c>
      <c r="BK12" s="2">
        <v>5.1576666666666666</v>
      </c>
      <c r="BL12" s="2">
        <v>5.4783333333333326</v>
      </c>
      <c r="BM12" s="2">
        <v>31.608000000000001</v>
      </c>
      <c r="BN12" s="2">
        <v>42.777000000000001</v>
      </c>
      <c r="BO12" s="2">
        <v>27.840666666666667</v>
      </c>
      <c r="BP12" s="2">
        <v>28.339666666666666</v>
      </c>
      <c r="BQ12" s="2">
        <v>45.198000000000008</v>
      </c>
      <c r="BR12" s="2">
        <v>47.362666666666669</v>
      </c>
      <c r="BS12" s="2">
        <v>14.972333333333335</v>
      </c>
      <c r="BT12" s="37">
        <v>17.248031999999995</v>
      </c>
      <c r="BU12" s="29">
        <v>0.7822079999999999</v>
      </c>
      <c r="BV12" s="29">
        <v>14.650560000000002</v>
      </c>
      <c r="BW12" s="29">
        <v>2.00448</v>
      </c>
      <c r="BX12" s="29">
        <v>10.710720000000006</v>
      </c>
      <c r="BY12" s="30"/>
    </row>
    <row r="13" spans="1:77" ht="15" thickBot="1" x14ac:dyDescent="0.4">
      <c r="A13" s="13" t="s">
        <v>11</v>
      </c>
      <c r="B13" s="5">
        <v>17.957666666666668</v>
      </c>
      <c r="C13" s="4">
        <v>10.5992</v>
      </c>
      <c r="D13" s="4">
        <v>5.8109333333333328</v>
      </c>
      <c r="E13" s="4">
        <v>6.998733333333333</v>
      </c>
      <c r="F13" s="4">
        <v>7.1583333333333323</v>
      </c>
      <c r="G13" s="4">
        <v>9.2680000000000007</v>
      </c>
      <c r="H13" s="4">
        <v>8.3549666666666678</v>
      </c>
      <c r="I13" s="4">
        <v>9.8556666666666661</v>
      </c>
      <c r="J13" s="4">
        <v>128.42766666666665</v>
      </c>
      <c r="K13" s="4">
        <v>19.106666666666666</v>
      </c>
      <c r="L13" s="4">
        <v>33.926999999999992</v>
      </c>
      <c r="M13" s="4">
        <v>18.475000000000001</v>
      </c>
      <c r="N13" s="4">
        <v>16.061833333333333</v>
      </c>
      <c r="O13" s="4">
        <v>11.109233333333332</v>
      </c>
      <c r="P13" s="4">
        <v>18.797999999999998</v>
      </c>
      <c r="Q13" s="4">
        <v>13.960666666666668</v>
      </c>
      <c r="R13" s="4">
        <v>13.623333333333333</v>
      </c>
      <c r="S13" s="4">
        <v>23.946999999999996</v>
      </c>
      <c r="T13" s="4">
        <v>18.995566666666665</v>
      </c>
      <c r="U13" s="4">
        <v>18.722666666666665</v>
      </c>
      <c r="V13" s="4">
        <v>27.881</v>
      </c>
      <c r="W13" s="4">
        <v>87.352333333333334</v>
      </c>
      <c r="X13" s="4">
        <v>23.073666666666668</v>
      </c>
      <c r="Y13" s="4">
        <v>25.394666666666666</v>
      </c>
      <c r="Z13" s="4">
        <v>26.491333333333333</v>
      </c>
      <c r="AA13" s="4">
        <v>26.746000000000002</v>
      </c>
      <c r="AB13" s="4">
        <v>88.027333333333331</v>
      </c>
      <c r="AC13" s="4">
        <v>13.976666666666667</v>
      </c>
      <c r="AD13" s="4">
        <v>76.48599999999999</v>
      </c>
      <c r="AE13" s="4">
        <v>11.529333333333334</v>
      </c>
      <c r="AF13" s="4">
        <v>29.073666666666664</v>
      </c>
      <c r="AG13" s="4">
        <v>37.251333333333335</v>
      </c>
      <c r="AH13" s="4">
        <v>9.2913333333333323</v>
      </c>
      <c r="AI13" s="4">
        <v>14.106333333333335</v>
      </c>
      <c r="AJ13" s="4">
        <v>12.566333333333333</v>
      </c>
      <c r="AK13" s="4">
        <v>12.993666666666666</v>
      </c>
      <c r="AL13" s="4">
        <v>39.819333333333333</v>
      </c>
      <c r="AM13" s="4">
        <v>28.621000000000002</v>
      </c>
      <c r="AN13" s="4">
        <v>33.329000000000001</v>
      </c>
      <c r="AO13" s="4">
        <v>11.427733333333331</v>
      </c>
      <c r="AP13" s="4">
        <v>26.431666666666665</v>
      </c>
      <c r="AQ13" s="4">
        <v>36.154333333333341</v>
      </c>
      <c r="AR13" s="4">
        <v>16.408333333333331</v>
      </c>
      <c r="AS13" s="4">
        <v>16.343333333333334</v>
      </c>
      <c r="AT13" s="4">
        <v>4.0626666666666669</v>
      </c>
      <c r="AU13" s="4">
        <v>1.6243333333333332</v>
      </c>
      <c r="AV13" s="4">
        <v>2.9709999999999996</v>
      </c>
      <c r="AW13" s="4">
        <v>7.7699666666666669</v>
      </c>
      <c r="AX13" s="4">
        <v>4.301333333333333</v>
      </c>
      <c r="AY13" s="4">
        <v>7.5196666666666667</v>
      </c>
      <c r="AZ13" s="4">
        <v>10.943666666666667</v>
      </c>
      <c r="BA13" s="4">
        <v>1.3666666666666669</v>
      </c>
      <c r="BB13" s="4">
        <v>5.7433333333333341</v>
      </c>
      <c r="BC13" s="4">
        <v>12.011666666666668</v>
      </c>
      <c r="BD13" s="4">
        <v>23.164333333333335</v>
      </c>
      <c r="BE13" s="4">
        <v>11.820999999999998</v>
      </c>
      <c r="BF13" s="4">
        <v>4.012666666666667</v>
      </c>
      <c r="BG13" s="4">
        <v>8.0806666666666676</v>
      </c>
      <c r="BH13" s="4">
        <v>36.423333333333332</v>
      </c>
      <c r="BI13" s="4">
        <v>8.6503333333333341</v>
      </c>
      <c r="BJ13" s="4">
        <v>39.73533333333333</v>
      </c>
      <c r="BK13" s="4">
        <v>5.2089999999999996</v>
      </c>
      <c r="BL13" s="4">
        <v>3.452</v>
      </c>
      <c r="BM13" s="4">
        <v>26.424999999999997</v>
      </c>
      <c r="BN13" s="4">
        <v>28.629666666666669</v>
      </c>
      <c r="BO13" s="4">
        <v>53.590333333333326</v>
      </c>
      <c r="BP13" s="4">
        <v>28.910666666666664</v>
      </c>
      <c r="BQ13" s="4">
        <v>31.797333333333334</v>
      </c>
      <c r="BR13" s="4">
        <v>27.138666666666666</v>
      </c>
      <c r="BS13" s="4">
        <v>15.506333333333332</v>
      </c>
      <c r="BT13" s="38">
        <v>3.313152000000001</v>
      </c>
      <c r="BU13" s="35">
        <v>0.79113600000000028</v>
      </c>
      <c r="BV13" s="35">
        <v>9.6854399999999998</v>
      </c>
      <c r="BW13" s="35">
        <v>1.5192000000000003</v>
      </c>
      <c r="BX13" s="35">
        <v>4.0250880000000002</v>
      </c>
      <c r="BY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>
      <selection activeCell="E19" sqref="E19"/>
    </sheetView>
  </sheetViews>
  <sheetFormatPr baseColWidth="10" defaultRowHeight="14.5" x14ac:dyDescent="0.35"/>
  <sheetData>
    <row r="1" spans="1:77" ht="15" thickBot="1" x14ac:dyDescent="0.4">
      <c r="A1" s="14" t="s">
        <v>13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12.869666666666665</v>
      </c>
      <c r="D2" s="7">
        <v>7.2776666666666667</v>
      </c>
      <c r="E2" s="7">
        <v>5.8796666666666662</v>
      </c>
      <c r="F2" s="7">
        <v>4.7463333333333333</v>
      </c>
      <c r="G2" s="7">
        <v>5.6903333333333341</v>
      </c>
      <c r="H2" s="7">
        <v>6.649</v>
      </c>
      <c r="I2" s="7">
        <v>8.1950000000000003</v>
      </c>
      <c r="J2" s="7">
        <v>7.2106666666666674</v>
      </c>
      <c r="K2" s="7">
        <v>15.186333333333332</v>
      </c>
      <c r="L2" s="7">
        <v>21.277333333333335</v>
      </c>
      <c r="M2" s="7">
        <v>24.361999999999998</v>
      </c>
      <c r="N2" s="7">
        <v>11.163333333333334</v>
      </c>
      <c r="O2" s="7">
        <v>11.657333333333334</v>
      </c>
      <c r="P2" s="7">
        <v>8.3443333333333332</v>
      </c>
      <c r="Q2" s="7">
        <v>12.415666666666667</v>
      </c>
      <c r="R2" s="7">
        <v>8.6176666666666666</v>
      </c>
      <c r="S2" s="7">
        <v>12.501333333333333</v>
      </c>
      <c r="T2" s="7">
        <v>8.1736666666666675</v>
      </c>
      <c r="U2" s="7">
        <v>53.982666666666667</v>
      </c>
      <c r="V2" s="7">
        <v>10.745333333333333</v>
      </c>
      <c r="W2" s="7">
        <v>11.776333333333334</v>
      </c>
      <c r="X2" s="7">
        <v>38.611666666666665</v>
      </c>
      <c r="Y2" s="7">
        <v>8.9580000000000002</v>
      </c>
      <c r="Z2" s="7">
        <v>9.6940000000000008</v>
      </c>
      <c r="AA2" s="7">
        <v>10.679</v>
      </c>
      <c r="AB2" s="7">
        <v>8.706666666666667</v>
      </c>
      <c r="AC2" s="7">
        <v>5.916666666666667</v>
      </c>
      <c r="AD2" s="7">
        <v>6.1166666666666671</v>
      </c>
      <c r="AE2" s="7">
        <v>23.33966666666667</v>
      </c>
      <c r="AF2" s="7">
        <v>7.3029999999999999</v>
      </c>
      <c r="AG2" s="7">
        <v>20.142666666666667</v>
      </c>
      <c r="AH2" s="7">
        <v>12.668999999999999</v>
      </c>
      <c r="AI2" s="7">
        <v>4.6766666666666667</v>
      </c>
      <c r="AJ2" s="7">
        <v>10.746</v>
      </c>
      <c r="AK2" s="7">
        <v>11.843000000000002</v>
      </c>
      <c r="AL2" s="7">
        <v>9.3070000000000004</v>
      </c>
      <c r="AM2" s="7">
        <v>5.6690000000000005</v>
      </c>
      <c r="AN2" s="7">
        <v>8.0886666666666667</v>
      </c>
      <c r="AO2" s="7">
        <v>10.529333333333334</v>
      </c>
      <c r="AP2" s="7">
        <v>5.4193333333333333</v>
      </c>
      <c r="AQ2" s="7">
        <v>17.686</v>
      </c>
      <c r="AR2" s="7">
        <v>87.88600000000001</v>
      </c>
      <c r="AS2" s="7">
        <v>4.4980000000000002</v>
      </c>
      <c r="AT2" s="7">
        <v>11.713000000000001</v>
      </c>
      <c r="AU2" s="7">
        <v>1.6616666666666668</v>
      </c>
      <c r="AV2" s="7">
        <v>0.70500000000000007</v>
      </c>
      <c r="AW2" s="7">
        <v>1.014</v>
      </c>
      <c r="AX2" s="7">
        <v>1.2643333333333333</v>
      </c>
      <c r="AY2" s="7">
        <v>1.0913333333333333</v>
      </c>
      <c r="AZ2" s="7">
        <v>1.8499999999999999</v>
      </c>
      <c r="BA2" s="7">
        <v>15.425333333333334</v>
      </c>
      <c r="BB2" s="7">
        <v>0.36800000000000005</v>
      </c>
      <c r="BC2" s="7">
        <v>0.31233333333333335</v>
      </c>
      <c r="BD2" s="7">
        <v>3.5016666666666669</v>
      </c>
      <c r="BE2" s="7">
        <v>6.4420000000000002</v>
      </c>
      <c r="BF2" s="7">
        <v>0.63733333333333331</v>
      </c>
      <c r="BG2" s="7">
        <v>1.3663333333333334</v>
      </c>
      <c r="BH2" s="7">
        <v>0.72733333333333328</v>
      </c>
      <c r="BI2" s="7">
        <v>3.6</v>
      </c>
      <c r="BJ2" s="7">
        <v>1.3096666666666665</v>
      </c>
      <c r="BK2" s="7">
        <v>0.67933333333333323</v>
      </c>
      <c r="BL2" s="7">
        <v>0.503</v>
      </c>
      <c r="BM2" s="7">
        <v>2.274</v>
      </c>
      <c r="BN2" s="7">
        <v>6.8526666666666669</v>
      </c>
      <c r="BO2" s="7">
        <v>2.7119999999999997</v>
      </c>
      <c r="BP2" s="7">
        <v>1.5333333333333332</v>
      </c>
      <c r="BQ2" s="7">
        <v>15.411</v>
      </c>
      <c r="BR2" s="7">
        <v>3.1876666666666669</v>
      </c>
      <c r="BS2" s="7">
        <v>0.58433333333333326</v>
      </c>
      <c r="BT2" s="7">
        <v>5.9036666666666662</v>
      </c>
      <c r="BU2" s="31">
        <v>1.4353920000000002</v>
      </c>
      <c r="BV2" s="31">
        <v>0.24163200000000012</v>
      </c>
      <c r="BW2" s="31">
        <v>2.7334080000000007</v>
      </c>
      <c r="BX2" s="31">
        <v>0.38016000000000005</v>
      </c>
      <c r="BY2" s="32">
        <v>0.14716800000000002</v>
      </c>
    </row>
    <row r="3" spans="1:77" x14ac:dyDescent="0.35">
      <c r="A3" s="12" t="s">
        <v>1</v>
      </c>
      <c r="B3" s="3">
        <v>19.941666666666666</v>
      </c>
      <c r="C3" s="2">
        <v>21.750666666666667</v>
      </c>
      <c r="D3" s="2">
        <v>5.5919999999999996</v>
      </c>
      <c r="E3" s="2">
        <v>4.6463333333333336</v>
      </c>
      <c r="F3" s="2">
        <v>4.378333333333333</v>
      </c>
      <c r="G3" s="2">
        <v>4.8356666666666666</v>
      </c>
      <c r="H3" s="2">
        <v>7.7510000000000003</v>
      </c>
      <c r="I3" s="2">
        <v>8.6936666666666671</v>
      </c>
      <c r="J3" s="2">
        <v>6.4206666666666665</v>
      </c>
      <c r="K3" s="2">
        <v>7.8263333333333334</v>
      </c>
      <c r="L3" s="2">
        <v>29.712999999999997</v>
      </c>
      <c r="M3" s="2">
        <v>17.084</v>
      </c>
      <c r="N3" s="2">
        <v>8.44</v>
      </c>
      <c r="O3" s="2">
        <v>7.7369999999999992</v>
      </c>
      <c r="P3" s="2">
        <v>9.7206666666666663</v>
      </c>
      <c r="Q3" s="2">
        <v>13.034999999999998</v>
      </c>
      <c r="R3" s="2">
        <v>7.508</v>
      </c>
      <c r="S3" s="2">
        <v>9.3800000000000008</v>
      </c>
      <c r="T3" s="2">
        <v>1.3716666666666668</v>
      </c>
      <c r="U3" s="2">
        <v>51.143000000000001</v>
      </c>
      <c r="V3" s="2">
        <v>9.3163333333333345</v>
      </c>
      <c r="W3" s="2">
        <v>11.658333333333333</v>
      </c>
      <c r="X3" s="2">
        <v>11.586333333333334</v>
      </c>
      <c r="Y3" s="2">
        <v>6.5873333333333335</v>
      </c>
      <c r="Z3" s="2">
        <v>7.91</v>
      </c>
      <c r="AA3" s="2">
        <v>35.32033333333333</v>
      </c>
      <c r="AB3" s="2">
        <v>4.0073333333333334</v>
      </c>
      <c r="AC3" s="2">
        <v>4.1903333333333332</v>
      </c>
      <c r="AD3" s="2">
        <v>5.6636666666666668</v>
      </c>
      <c r="AE3" s="2">
        <v>20.237666666666666</v>
      </c>
      <c r="AF3" s="2">
        <v>6.6260000000000003</v>
      </c>
      <c r="AG3" s="2">
        <v>30.274666666666665</v>
      </c>
      <c r="AH3" s="2">
        <v>14.682333333333332</v>
      </c>
      <c r="AI3" s="2">
        <v>4.4886666666666661</v>
      </c>
      <c r="AJ3" s="2">
        <v>13.855666666666666</v>
      </c>
      <c r="AK3" s="2">
        <v>10.952666666666666</v>
      </c>
      <c r="AL3" s="2">
        <v>6.8813333333333331</v>
      </c>
      <c r="AM3" s="2">
        <v>8.3613333333333326</v>
      </c>
      <c r="AN3" s="2">
        <v>7.6090000000000009</v>
      </c>
      <c r="AO3" s="2">
        <v>10.863333333333335</v>
      </c>
      <c r="AP3" s="2">
        <v>15.494</v>
      </c>
      <c r="AQ3" s="2">
        <v>19.028000000000002</v>
      </c>
      <c r="AR3" s="2">
        <v>70.159666666666666</v>
      </c>
      <c r="AS3" s="2">
        <v>3.6286666666666663</v>
      </c>
      <c r="AT3" s="2">
        <v>10.301666666666668</v>
      </c>
      <c r="AU3" s="2">
        <v>1.0940000000000001</v>
      </c>
      <c r="AV3" s="2">
        <v>0.65733333333333333</v>
      </c>
      <c r="AW3" s="2">
        <v>1.3823333333333334</v>
      </c>
      <c r="AX3" s="2">
        <v>0.92833333333333334</v>
      </c>
      <c r="AY3" s="2">
        <v>1.1599999999999999</v>
      </c>
      <c r="AZ3" s="2">
        <v>1.9863333333333333</v>
      </c>
      <c r="BA3" s="2">
        <v>8.1479999999999997</v>
      </c>
      <c r="BB3" s="2">
        <v>0.32500000000000001</v>
      </c>
      <c r="BC3" s="2">
        <v>1.3843333333333332</v>
      </c>
      <c r="BD3" s="2">
        <v>0.78799999999999992</v>
      </c>
      <c r="BE3" s="2">
        <v>9.3576666666666668</v>
      </c>
      <c r="BF3" s="2">
        <v>0.46533333333333332</v>
      </c>
      <c r="BG3" s="2">
        <v>0.64733333333333332</v>
      </c>
      <c r="BH3" s="2">
        <v>0.71033333333333326</v>
      </c>
      <c r="BI3" s="2">
        <v>1.6976666666666667</v>
      </c>
      <c r="BJ3" s="2">
        <v>25.243333333333336</v>
      </c>
      <c r="BK3" s="2">
        <v>0.60233333333333328</v>
      </c>
      <c r="BL3" s="2">
        <v>0.33266666666666667</v>
      </c>
      <c r="BM3" s="2">
        <v>0.22333333333333336</v>
      </c>
      <c r="BN3" s="2">
        <v>3.2033333333333331</v>
      </c>
      <c r="BO3" s="2">
        <v>1.6633333333333333</v>
      </c>
      <c r="BP3" s="2">
        <v>0.56133333333333335</v>
      </c>
      <c r="BQ3" s="2">
        <v>5.458333333333333</v>
      </c>
      <c r="BR3" s="2">
        <v>1.9889999999999999</v>
      </c>
      <c r="BS3" s="2">
        <v>1.0589999999999999</v>
      </c>
      <c r="BT3" s="2">
        <v>0.57033333333333336</v>
      </c>
      <c r="BU3" s="29">
        <v>0.49161600000000005</v>
      </c>
      <c r="BV3" s="29">
        <v>0.21398400000000004</v>
      </c>
      <c r="BW3" s="29">
        <v>2.1309119999999999</v>
      </c>
      <c r="BX3" s="29">
        <v>0.159552</v>
      </c>
      <c r="BY3" s="30">
        <v>0.106848</v>
      </c>
    </row>
    <row r="4" spans="1:77" x14ac:dyDescent="0.35">
      <c r="A4" s="12" t="s">
        <v>2</v>
      </c>
      <c r="B4" s="3">
        <v>20.106000000000002</v>
      </c>
      <c r="C4" s="2">
        <v>16.117666666666665</v>
      </c>
      <c r="D4" s="2">
        <v>4.0993333333333331</v>
      </c>
      <c r="E4" s="2">
        <v>3.5196666666666663</v>
      </c>
      <c r="F4" s="2">
        <v>2.2229999999999999</v>
      </c>
      <c r="G4" s="2">
        <v>2.6096666666666666</v>
      </c>
      <c r="H4" s="2">
        <v>5.234</v>
      </c>
      <c r="I4" s="2">
        <v>5.2296666666666667</v>
      </c>
      <c r="J4" s="2">
        <v>3.8130000000000002</v>
      </c>
      <c r="K4" s="2">
        <v>7.8319999999999999</v>
      </c>
      <c r="L4" s="2">
        <v>21.185333333333332</v>
      </c>
      <c r="M4" s="2">
        <v>13.382333333333333</v>
      </c>
      <c r="N4" s="2">
        <v>8.2439999999999998</v>
      </c>
      <c r="O4" s="2">
        <v>6.2759999999999998</v>
      </c>
      <c r="P4" s="2">
        <v>10.181333333333333</v>
      </c>
      <c r="Q4" s="2">
        <v>10.348333333333334</v>
      </c>
      <c r="R4" s="2">
        <v>5.0469999999999997</v>
      </c>
      <c r="S4" s="2">
        <v>9.2810000000000006</v>
      </c>
      <c r="T4" s="2">
        <v>1.7149999999999999</v>
      </c>
      <c r="U4" s="2">
        <v>53.573666666666668</v>
      </c>
      <c r="V4" s="2">
        <v>7.4889999999999999</v>
      </c>
      <c r="W4" s="2">
        <v>11.106</v>
      </c>
      <c r="X4" s="2">
        <v>19.391000000000002</v>
      </c>
      <c r="Y4" s="2">
        <v>4.016</v>
      </c>
      <c r="Z4" s="2">
        <v>10.705666666666666</v>
      </c>
      <c r="AA4" s="2">
        <v>82.733666666666664</v>
      </c>
      <c r="AB4" s="2">
        <v>3.7810000000000001</v>
      </c>
      <c r="AC4" s="2">
        <v>25.806666666666668</v>
      </c>
      <c r="AD4" s="2">
        <v>4.9240000000000004</v>
      </c>
      <c r="AE4" s="2">
        <v>39.398333333333333</v>
      </c>
      <c r="AF4" s="2">
        <v>15.421666666666667</v>
      </c>
      <c r="AG4" s="2">
        <v>37.733666666666664</v>
      </c>
      <c r="AH4" s="2">
        <v>22.766333333333336</v>
      </c>
      <c r="AI4" s="2">
        <v>5.4353333333333333</v>
      </c>
      <c r="AJ4" s="2">
        <v>8.0553333333333335</v>
      </c>
      <c r="AK4" s="2">
        <v>12.438666666666668</v>
      </c>
      <c r="AL4" s="2">
        <v>8.4779999999999998</v>
      </c>
      <c r="AM4" s="2">
        <v>35.582333333333331</v>
      </c>
      <c r="AN4" s="2">
        <v>5.6853333333333333</v>
      </c>
      <c r="AO4" s="2">
        <v>7.9746666666666668</v>
      </c>
      <c r="AP4" s="2">
        <v>16.421666666666667</v>
      </c>
      <c r="AQ4" s="2">
        <v>26.199333333333332</v>
      </c>
      <c r="AR4" s="2">
        <v>29.977999999999998</v>
      </c>
      <c r="AS4" s="2">
        <v>5.2380000000000004</v>
      </c>
      <c r="AT4" s="2">
        <v>13.167333333333334</v>
      </c>
      <c r="AU4" s="2">
        <v>0.99633333333333329</v>
      </c>
      <c r="AV4" s="2">
        <v>0.45066666666666672</v>
      </c>
      <c r="AW4" s="2">
        <v>1.2153333333333334</v>
      </c>
      <c r="AX4" s="2">
        <v>1.0786666666666667</v>
      </c>
      <c r="AY4" s="2">
        <v>1.292</v>
      </c>
      <c r="AZ4" s="2">
        <v>3.2556666666666665</v>
      </c>
      <c r="BA4" s="2">
        <v>1.5640000000000001</v>
      </c>
      <c r="BB4" s="2">
        <v>0.73699999999999999</v>
      </c>
      <c r="BC4" s="2">
        <v>0.28999999999999998</v>
      </c>
      <c r="BD4" s="2">
        <v>20.223666666666666</v>
      </c>
      <c r="BE4" s="2">
        <v>2.1779999999999999</v>
      </c>
      <c r="BF4" s="2">
        <v>6.0426666666666664</v>
      </c>
      <c r="BG4" s="2">
        <v>18.841666666666665</v>
      </c>
      <c r="BH4" s="2">
        <v>1.2373333333333334</v>
      </c>
      <c r="BI4" s="2">
        <v>2.5680000000000001</v>
      </c>
      <c r="BJ4" s="2">
        <v>2.1956666666666664</v>
      </c>
      <c r="BK4" s="2">
        <v>0.76700000000000002</v>
      </c>
      <c r="BL4" s="2">
        <v>0.55399999999999994</v>
      </c>
      <c r="BM4" s="2">
        <v>0.38500000000000001</v>
      </c>
      <c r="BN4" s="2">
        <v>1.3973333333333333</v>
      </c>
      <c r="BO4" s="2">
        <v>3.4656666666666669</v>
      </c>
      <c r="BP4" s="2">
        <v>0.87133333333333329</v>
      </c>
      <c r="BQ4" s="2">
        <v>0.79566666666666663</v>
      </c>
      <c r="BR4" s="2">
        <v>0.85266666666666657</v>
      </c>
      <c r="BS4" s="2">
        <v>6.8513333333333328</v>
      </c>
      <c r="BT4" s="2">
        <v>0.68500000000000005</v>
      </c>
      <c r="BU4" s="29">
        <v>0.46224000000000004</v>
      </c>
      <c r="BV4" s="29">
        <v>0.24278400000000011</v>
      </c>
      <c r="BW4" s="29">
        <v>1.180512</v>
      </c>
      <c r="BX4" s="29">
        <v>0.179424</v>
      </c>
      <c r="BY4" s="30">
        <v>0.14572800000000002</v>
      </c>
    </row>
    <row r="5" spans="1:77" x14ac:dyDescent="0.35">
      <c r="A5" s="12" t="s">
        <v>3</v>
      </c>
      <c r="B5" s="3">
        <v>7.4009999999999998</v>
      </c>
      <c r="C5" s="2">
        <v>6.825333333333333</v>
      </c>
      <c r="D5" s="2">
        <v>1.3240000000000001</v>
      </c>
      <c r="E5" s="2">
        <v>0.35166666666666663</v>
      </c>
      <c r="F5" s="2">
        <v>0.38033333333333336</v>
      </c>
      <c r="G5" s="2">
        <v>0.11566666666666665</v>
      </c>
      <c r="H5" s="2">
        <v>1.1636666666666666</v>
      </c>
      <c r="I5" s="2">
        <v>2.8960000000000004</v>
      </c>
      <c r="J5" s="2">
        <v>0.58933333333333338</v>
      </c>
      <c r="K5" s="2">
        <v>7.1343333333333332</v>
      </c>
      <c r="L5" s="2">
        <v>9.3136666666666663</v>
      </c>
      <c r="M5" s="2">
        <v>5.5569999999999995</v>
      </c>
      <c r="N5" s="2">
        <v>3.8930000000000002</v>
      </c>
      <c r="O5" s="2">
        <v>4.407</v>
      </c>
      <c r="P5" s="2">
        <v>4.8029999999999999</v>
      </c>
      <c r="Q5" s="2">
        <v>4.9973333333333336</v>
      </c>
      <c r="R5" s="2">
        <v>2.6716666666666669</v>
      </c>
      <c r="S5" s="2">
        <v>5.1950000000000003</v>
      </c>
      <c r="T5" s="2">
        <v>3.7970000000000002</v>
      </c>
      <c r="U5" s="2">
        <v>31.395</v>
      </c>
      <c r="V5" s="2">
        <v>4.883</v>
      </c>
      <c r="W5" s="2">
        <v>7.8363333333333332</v>
      </c>
      <c r="X5" s="2">
        <v>16.655000000000001</v>
      </c>
      <c r="Y5" s="2">
        <v>2.8460000000000001</v>
      </c>
      <c r="Z5" s="2">
        <v>17.894333333333332</v>
      </c>
      <c r="AA5" s="2">
        <v>35.446999999999996</v>
      </c>
      <c r="AB5" s="2">
        <v>2.2879999999999998</v>
      </c>
      <c r="AC5" s="2">
        <v>35.965333333333334</v>
      </c>
      <c r="AD5" s="2">
        <v>26.640666666666664</v>
      </c>
      <c r="AE5" s="2">
        <v>36.953333333333333</v>
      </c>
      <c r="AF5" s="2">
        <v>15.938000000000001</v>
      </c>
      <c r="AG5" s="2">
        <v>33.148666666666664</v>
      </c>
      <c r="AH5" s="2">
        <v>32.837666666666671</v>
      </c>
      <c r="AI5" s="2">
        <v>7.8233333333333333</v>
      </c>
      <c r="AJ5" s="2">
        <v>4.8133333333333335</v>
      </c>
      <c r="AK5" s="2">
        <v>11.877333333333333</v>
      </c>
      <c r="AL5" s="2">
        <v>6.6690000000000005</v>
      </c>
      <c r="AM5" s="2">
        <v>32.592999999999996</v>
      </c>
      <c r="AN5" s="2">
        <v>6.2556666666666665</v>
      </c>
      <c r="AO5" s="2">
        <v>5.8836666666666666</v>
      </c>
      <c r="AP5" s="2">
        <v>8.4403333333333332</v>
      </c>
      <c r="AQ5" s="2">
        <v>27.106666666666666</v>
      </c>
      <c r="AR5" s="2">
        <v>26.668666666666667</v>
      </c>
      <c r="AS5" s="2">
        <v>5.0316666666666672</v>
      </c>
      <c r="AT5" s="2">
        <v>14.423333333333334</v>
      </c>
      <c r="AU5" s="2">
        <v>3.2946666666666666</v>
      </c>
      <c r="AV5" s="2">
        <v>0.38599999999999995</v>
      </c>
      <c r="AW5" s="2">
        <v>0.99633333333333329</v>
      </c>
      <c r="AX5" s="2">
        <v>1.5173333333333332</v>
      </c>
      <c r="AY5" s="2">
        <v>1.8173333333333332</v>
      </c>
      <c r="AZ5" s="2">
        <v>1.7603333333333333</v>
      </c>
      <c r="BA5" s="2">
        <v>1.8043333333333333</v>
      </c>
      <c r="BB5" s="2">
        <v>1.4646666666666668</v>
      </c>
      <c r="BC5" s="2">
        <v>0.43433333333333329</v>
      </c>
      <c r="BD5" s="2">
        <v>1.24</v>
      </c>
      <c r="BE5" s="2">
        <v>1.1636666666666666</v>
      </c>
      <c r="BF5" s="2">
        <v>10.054</v>
      </c>
      <c r="BG5" s="2">
        <v>5.7776666666666658</v>
      </c>
      <c r="BH5" s="2">
        <v>0.90333333333333332</v>
      </c>
      <c r="BI5" s="2">
        <v>1.2486666666666666</v>
      </c>
      <c r="BJ5" s="2">
        <v>1.8343333333333334</v>
      </c>
      <c r="BK5" s="2">
        <v>0.92733333333333334</v>
      </c>
      <c r="BL5" s="2">
        <v>1.2369999999999999</v>
      </c>
      <c r="BM5" s="2">
        <v>0.57999999999999996</v>
      </c>
      <c r="BN5" s="2">
        <v>0.90333333333333332</v>
      </c>
      <c r="BO5" s="2">
        <v>0.68900000000000006</v>
      </c>
      <c r="BP5" s="2">
        <v>0.61233333333333329</v>
      </c>
      <c r="BQ5" s="2">
        <v>0.79366666666666663</v>
      </c>
      <c r="BR5" s="2">
        <v>0.79666666666666675</v>
      </c>
      <c r="BS5" s="2">
        <v>5.5256666666666669</v>
      </c>
      <c r="BT5" s="2">
        <v>0.77400000000000002</v>
      </c>
      <c r="BU5" s="29">
        <v>0.65347200000000016</v>
      </c>
      <c r="BV5" s="29">
        <v>0.23904000000000003</v>
      </c>
      <c r="BW5" s="29">
        <v>1.184256</v>
      </c>
      <c r="BX5" s="29">
        <v>0.37382399999999999</v>
      </c>
      <c r="BY5" s="30">
        <v>0.16070400000000001</v>
      </c>
    </row>
    <row r="6" spans="1:77" x14ac:dyDescent="0.35">
      <c r="A6" s="12" t="s">
        <v>4</v>
      </c>
      <c r="B6" s="3">
        <v>8.0176666666666669</v>
      </c>
      <c r="C6" s="2">
        <v>12.993</v>
      </c>
      <c r="D6" s="2">
        <v>2.0763333333333334</v>
      </c>
      <c r="E6" s="2">
        <v>0.92099999999999993</v>
      </c>
      <c r="F6" s="2">
        <v>0.64233333333333331</v>
      </c>
      <c r="G6" s="2">
        <v>0.13133333333333333</v>
      </c>
      <c r="H6" s="2">
        <v>2.6393333333333335</v>
      </c>
      <c r="I6" s="2">
        <v>11.176</v>
      </c>
      <c r="J6" s="2">
        <v>1.5926666666666665</v>
      </c>
      <c r="K6" s="2">
        <v>9.2916666666666661</v>
      </c>
      <c r="L6" s="2">
        <v>6.6086666666666671</v>
      </c>
      <c r="M6" s="2">
        <v>8.25</v>
      </c>
      <c r="N6" s="2">
        <v>3.7279999999999998</v>
      </c>
      <c r="O6" s="2">
        <v>7.9673333333333334</v>
      </c>
      <c r="P6" s="2">
        <v>7.1586666666666661</v>
      </c>
      <c r="Q6" s="2">
        <v>5.3813333333333331</v>
      </c>
      <c r="R6" s="2">
        <v>6.149</v>
      </c>
      <c r="S6" s="2">
        <v>7.9913333333333334</v>
      </c>
      <c r="T6" s="2">
        <v>4.4950000000000001</v>
      </c>
      <c r="U6" s="2">
        <v>10.990333333333332</v>
      </c>
      <c r="V6" s="2">
        <v>5.2843333333333335</v>
      </c>
      <c r="W6" s="2">
        <v>7.8553333333333333</v>
      </c>
      <c r="X6" s="2">
        <v>18.895666666666667</v>
      </c>
      <c r="Y6" s="2">
        <v>8.3233333333333324</v>
      </c>
      <c r="Z6" s="2">
        <v>50.881</v>
      </c>
      <c r="AA6" s="2">
        <v>13.573333333333332</v>
      </c>
      <c r="AB6" s="2">
        <v>8.0789999999999988</v>
      </c>
      <c r="AC6" s="2">
        <v>35.602666666666671</v>
      </c>
      <c r="AD6" s="2">
        <v>31.449666666666669</v>
      </c>
      <c r="AE6" s="2">
        <v>38.525666666666666</v>
      </c>
      <c r="AF6" s="2">
        <v>29.718666666666667</v>
      </c>
      <c r="AG6" s="2">
        <v>19.601333333333333</v>
      </c>
      <c r="AH6" s="2">
        <v>40.988</v>
      </c>
      <c r="AI6" s="2">
        <v>28.189333333333334</v>
      </c>
      <c r="AJ6" s="2">
        <v>12.947333333333333</v>
      </c>
      <c r="AK6" s="2">
        <v>14.575666666666665</v>
      </c>
      <c r="AL6" s="2">
        <v>9.0879999999999992</v>
      </c>
      <c r="AM6" s="2">
        <v>29.954999999999998</v>
      </c>
      <c r="AN6" s="2">
        <v>10.807666666666668</v>
      </c>
      <c r="AO6" s="2">
        <v>10.290333333333333</v>
      </c>
      <c r="AP6" s="2">
        <v>8.2876666666666665</v>
      </c>
      <c r="AQ6" s="2">
        <v>20.035999999999998</v>
      </c>
      <c r="AR6" s="2">
        <v>70.410333333333327</v>
      </c>
      <c r="AS6" s="2">
        <v>6.0323333333333338</v>
      </c>
      <c r="AT6" s="2">
        <v>31.037666666666667</v>
      </c>
      <c r="AU6" s="2">
        <v>1.5383333333333333</v>
      </c>
      <c r="AV6" s="2">
        <v>0.34899999999999998</v>
      </c>
      <c r="AW6" s="2">
        <v>17.984333333333336</v>
      </c>
      <c r="AX6" s="2">
        <v>2.9873333333333334</v>
      </c>
      <c r="AY6" s="2">
        <v>2.8143333333333334</v>
      </c>
      <c r="AZ6" s="2">
        <v>4.8656666666666668</v>
      </c>
      <c r="BA6" s="2">
        <v>2.1506666666666665</v>
      </c>
      <c r="BB6" s="2">
        <v>1.1776666666666666</v>
      </c>
      <c r="BC6" s="2">
        <v>1.194</v>
      </c>
      <c r="BD6" s="2">
        <v>2.1143333333333332</v>
      </c>
      <c r="BE6" s="2">
        <v>2.3183333333333334</v>
      </c>
      <c r="BF6" s="2">
        <v>4.7779999999999996</v>
      </c>
      <c r="BG6" s="2">
        <v>7.6016666666666666</v>
      </c>
      <c r="BH6" s="2">
        <v>1.1753333333333333</v>
      </c>
      <c r="BI6" s="2">
        <v>32.273333333333333</v>
      </c>
      <c r="BJ6" s="2">
        <v>1.0136666666666667</v>
      </c>
      <c r="BK6" s="2">
        <v>1.0833333333333333</v>
      </c>
      <c r="BL6" s="2">
        <v>4.1113333333333335</v>
      </c>
      <c r="BM6" s="2">
        <v>1.7649999999999999</v>
      </c>
      <c r="BN6" s="2">
        <v>0.81300000000000006</v>
      </c>
      <c r="BO6" s="2">
        <v>0.90666666666666673</v>
      </c>
      <c r="BP6" s="2">
        <v>3.4313333333333333</v>
      </c>
      <c r="BQ6" s="2">
        <v>6.0023333333333335</v>
      </c>
      <c r="BR6" s="2">
        <v>2.0636666666666668</v>
      </c>
      <c r="BS6" s="2">
        <v>1.21</v>
      </c>
      <c r="BT6" s="2">
        <v>1.4800000000000002</v>
      </c>
      <c r="BU6" s="29">
        <v>1.2954240000000004</v>
      </c>
      <c r="BV6" s="29">
        <v>0.27792</v>
      </c>
      <c r="BW6" s="29">
        <v>9.0308160000000015</v>
      </c>
      <c r="BX6" s="29">
        <v>0.32342399999999999</v>
      </c>
      <c r="BY6" s="30">
        <v>1.6519679999999999</v>
      </c>
    </row>
    <row r="7" spans="1:77" x14ac:dyDescent="0.35">
      <c r="A7" s="12" t="s">
        <v>5</v>
      </c>
      <c r="B7" s="3">
        <v>16.981333333333332</v>
      </c>
      <c r="C7" s="2">
        <v>15.377666666666666</v>
      </c>
      <c r="D7" s="2">
        <v>19.571666666666669</v>
      </c>
      <c r="E7" s="2">
        <v>1.986</v>
      </c>
      <c r="F7" s="2">
        <v>0.31266666666666665</v>
      </c>
      <c r="G7" s="2">
        <v>0.49199999999999999</v>
      </c>
      <c r="H7" s="2">
        <v>4.6273333333333335</v>
      </c>
      <c r="I7" s="2">
        <v>8.7553333333333327</v>
      </c>
      <c r="J7" s="2">
        <v>3.1489999999999996</v>
      </c>
      <c r="K7" s="2">
        <v>7.2566666666666668</v>
      </c>
      <c r="L7" s="2">
        <v>8.3916666666666675</v>
      </c>
      <c r="M7" s="2">
        <v>21.285666666666668</v>
      </c>
      <c r="N7" s="2">
        <v>7.5609999999999999</v>
      </c>
      <c r="O7" s="2">
        <v>11.598333333333334</v>
      </c>
      <c r="P7" s="2">
        <v>26.40433333333333</v>
      </c>
      <c r="Q7" s="2">
        <v>8.9653333333333336</v>
      </c>
      <c r="R7" s="2">
        <v>21.743333333333336</v>
      </c>
      <c r="S7" s="2">
        <v>25.732666666666663</v>
      </c>
      <c r="T7" s="2">
        <v>2.470333333333333</v>
      </c>
      <c r="U7" s="2">
        <v>19.366</v>
      </c>
      <c r="V7" s="2">
        <v>11.792</v>
      </c>
      <c r="W7" s="2">
        <v>11.951000000000001</v>
      </c>
      <c r="X7" s="2">
        <v>23.633333333333336</v>
      </c>
      <c r="Y7" s="2">
        <v>15.737</v>
      </c>
      <c r="Z7" s="2">
        <v>37.731000000000002</v>
      </c>
      <c r="AA7" s="2">
        <v>11.408999999999999</v>
      </c>
      <c r="AB7" s="2">
        <v>29.523</v>
      </c>
      <c r="AC7" s="2">
        <v>13.709000000000001</v>
      </c>
      <c r="AD7" s="2">
        <v>16.375666666666667</v>
      </c>
      <c r="AE7" s="2">
        <v>57.550999999999995</v>
      </c>
      <c r="AF7" s="2">
        <v>3.7256666666666667</v>
      </c>
      <c r="AG7" s="2">
        <v>28.854666666666663</v>
      </c>
      <c r="AH7" s="2">
        <v>34.528333333333329</v>
      </c>
      <c r="AI7" s="2">
        <v>9.8856666666666673</v>
      </c>
      <c r="AJ7" s="2">
        <v>52.363333333333337</v>
      </c>
      <c r="AK7" s="2">
        <v>12.095999999999998</v>
      </c>
      <c r="AL7" s="2">
        <v>40.112666666666662</v>
      </c>
      <c r="AM7" s="2">
        <v>31.406333333333333</v>
      </c>
      <c r="AN7" s="2">
        <v>25.119333333333334</v>
      </c>
      <c r="AO7" s="2">
        <v>9.2230000000000008</v>
      </c>
      <c r="AP7" s="2">
        <v>5.9313333333333338</v>
      </c>
      <c r="AQ7" s="2">
        <v>17.058333333333334</v>
      </c>
      <c r="AR7" s="2">
        <v>120.61433333333333</v>
      </c>
      <c r="AS7" s="2">
        <v>47.814</v>
      </c>
      <c r="AT7" s="2">
        <v>7.8033333333333337</v>
      </c>
      <c r="AU7" s="2">
        <v>2.4689999999999999</v>
      </c>
      <c r="AV7" s="2">
        <v>1.7736666666666665</v>
      </c>
      <c r="AW7" s="2">
        <v>9.3853333333333335</v>
      </c>
      <c r="AX7" s="2">
        <v>3.0830000000000002</v>
      </c>
      <c r="AY7" s="2">
        <v>9.2326666666666668</v>
      </c>
      <c r="AZ7" s="2">
        <v>26.812999999999999</v>
      </c>
      <c r="BA7" s="2">
        <v>1.8006666666666666</v>
      </c>
      <c r="BB7" s="2">
        <v>4.2443333333333335</v>
      </c>
      <c r="BC7" s="2">
        <v>5.8743333333333334</v>
      </c>
      <c r="BD7" s="2">
        <v>5.4663333333333339</v>
      </c>
      <c r="BE7" s="2">
        <v>1.0916666666666666</v>
      </c>
      <c r="BF7" s="2">
        <v>0.7596666666666666</v>
      </c>
      <c r="BG7" s="2">
        <v>10.760333333333334</v>
      </c>
      <c r="BH7" s="2">
        <v>2.2426666666666666</v>
      </c>
      <c r="BI7" s="2">
        <v>34.122</v>
      </c>
      <c r="BJ7" s="2">
        <v>1.4483333333333333</v>
      </c>
      <c r="BK7" s="2">
        <v>3.214</v>
      </c>
      <c r="BL7" s="2">
        <v>0.71466666666666667</v>
      </c>
      <c r="BM7" s="2">
        <v>14.576000000000001</v>
      </c>
      <c r="BN7" s="2">
        <v>3.4726666666666666</v>
      </c>
      <c r="BO7" s="2">
        <v>1.8856666666666666</v>
      </c>
      <c r="BP7" s="2">
        <v>5.1150000000000002</v>
      </c>
      <c r="BQ7" s="2">
        <v>2.9653333333333336</v>
      </c>
      <c r="BR7" s="2">
        <v>1.1063333333333334</v>
      </c>
      <c r="BS7" s="2">
        <v>8.2193333333333332</v>
      </c>
      <c r="BT7" s="2">
        <v>8.5310000000000006</v>
      </c>
      <c r="BU7" s="29">
        <v>6.3803520000000002</v>
      </c>
      <c r="BV7" s="29">
        <v>1.3959360000000005</v>
      </c>
      <c r="BW7" s="29">
        <v>1.5678720000000008</v>
      </c>
      <c r="BX7" s="29">
        <v>0.46684800000000004</v>
      </c>
      <c r="BY7" s="30">
        <v>5.2231680000000003</v>
      </c>
    </row>
    <row r="8" spans="1:77" x14ac:dyDescent="0.35">
      <c r="A8" s="12" t="s">
        <v>6</v>
      </c>
      <c r="B8" s="3">
        <v>41.527999999999999</v>
      </c>
      <c r="C8" s="2">
        <v>20.023666666666667</v>
      </c>
      <c r="D8" s="2">
        <v>82.644666666666666</v>
      </c>
      <c r="E8" s="2">
        <v>5.4686666666666666</v>
      </c>
      <c r="F8" s="2">
        <v>6.012666666666667</v>
      </c>
      <c r="G8" s="2">
        <v>28.172666666666668</v>
      </c>
      <c r="H8" s="2">
        <v>4.0176666666666669</v>
      </c>
      <c r="I8" s="2">
        <v>5.5133333333333328</v>
      </c>
      <c r="J8" s="2">
        <v>0.90200000000000002</v>
      </c>
      <c r="K8" s="2">
        <v>21.700333333333333</v>
      </c>
      <c r="L8" s="2">
        <v>53.435000000000002</v>
      </c>
      <c r="M8" s="2">
        <v>22.734666666666666</v>
      </c>
      <c r="N8" s="2">
        <v>25.315333333333331</v>
      </c>
      <c r="O8" s="2">
        <v>21.779</v>
      </c>
      <c r="P8" s="2">
        <v>10.294</v>
      </c>
      <c r="Q8" s="2">
        <v>5.237333333333333</v>
      </c>
      <c r="R8" s="2">
        <v>16.831666666666667</v>
      </c>
      <c r="S8" s="2">
        <v>22.262333333333334</v>
      </c>
      <c r="T8" s="2">
        <v>38.527999999999999</v>
      </c>
      <c r="U8" s="2">
        <v>31.834666666666667</v>
      </c>
      <c r="V8" s="2">
        <v>9.7993333333333332</v>
      </c>
      <c r="W8" s="2">
        <v>11.941666666666668</v>
      </c>
      <c r="X8" s="2">
        <v>30.331999999999997</v>
      </c>
      <c r="Y8" s="2">
        <v>47.387666666666668</v>
      </c>
      <c r="Z8" s="2">
        <v>15.143333333333333</v>
      </c>
      <c r="AA8" s="2">
        <v>17.541999999999998</v>
      </c>
      <c r="AB8" s="2">
        <v>63.544333333333334</v>
      </c>
      <c r="AC8" s="2">
        <v>15.192</v>
      </c>
      <c r="AD8" s="2">
        <v>15.969666666666667</v>
      </c>
      <c r="AE8" s="2">
        <v>41.984666666666662</v>
      </c>
      <c r="AF8" s="2">
        <v>7.543333333333333</v>
      </c>
      <c r="AG8" s="2">
        <v>20.416333333333334</v>
      </c>
      <c r="AH8" s="2">
        <v>16.444666666666667</v>
      </c>
      <c r="AI8" s="2">
        <v>6.8473333333333342</v>
      </c>
      <c r="AJ8" s="2">
        <v>33.428000000000004</v>
      </c>
      <c r="AK8" s="2">
        <v>18.717000000000002</v>
      </c>
      <c r="AL8" s="2">
        <v>32.745666666666665</v>
      </c>
      <c r="AM8" s="2">
        <v>33.209333333333333</v>
      </c>
      <c r="AN8" s="2">
        <v>44.415333333333336</v>
      </c>
      <c r="AO8" s="2">
        <v>12.840333333333334</v>
      </c>
      <c r="AP8" s="2">
        <v>42.006666666666668</v>
      </c>
      <c r="AQ8" s="2">
        <v>50.524000000000001</v>
      </c>
      <c r="AR8" s="2">
        <v>45.054666666666662</v>
      </c>
      <c r="AS8" s="2">
        <v>99.204333333333338</v>
      </c>
      <c r="AT8" s="2">
        <v>7.5696666666666665</v>
      </c>
      <c r="AU8" s="2">
        <v>2.5193333333333334</v>
      </c>
      <c r="AV8" s="2">
        <v>2.0766666666666667</v>
      </c>
      <c r="AW8" s="2">
        <v>9.8349999999999991</v>
      </c>
      <c r="AX8" s="2">
        <v>3.8960000000000004</v>
      </c>
      <c r="AY8" s="2">
        <v>6.7836666666666661</v>
      </c>
      <c r="AZ8" s="2">
        <v>4.0693333333333337</v>
      </c>
      <c r="BA8" s="2">
        <v>3.47</v>
      </c>
      <c r="BB8" s="2">
        <v>10.566666666666666</v>
      </c>
      <c r="BC8" s="2">
        <v>6.0553333333333335</v>
      </c>
      <c r="BD8" s="2">
        <v>12.550666666666666</v>
      </c>
      <c r="BE8" s="2">
        <v>1.8676666666666666</v>
      </c>
      <c r="BF8" s="2">
        <v>2.4676666666666667</v>
      </c>
      <c r="BG8" s="2">
        <v>14.981</v>
      </c>
      <c r="BH8" s="2">
        <v>13.090000000000002</v>
      </c>
      <c r="BI8" s="2">
        <v>6.8550000000000004</v>
      </c>
      <c r="BJ8" s="2">
        <v>9.1429999999999989</v>
      </c>
      <c r="BK8" s="2">
        <v>19.596333333333334</v>
      </c>
      <c r="BL8" s="2">
        <v>20.414999999999999</v>
      </c>
      <c r="BM8" s="2">
        <v>70.927333333333337</v>
      </c>
      <c r="BN8" s="2">
        <v>1.294</v>
      </c>
      <c r="BO8" s="2">
        <v>13.278666666666666</v>
      </c>
      <c r="BP8" s="2">
        <v>1.6486666666666665</v>
      </c>
      <c r="BQ8" s="2">
        <v>29.652333333333331</v>
      </c>
      <c r="BR8" s="2">
        <v>2.8203333333333336</v>
      </c>
      <c r="BS8" s="2">
        <v>1.4536666666666667</v>
      </c>
      <c r="BT8" s="2">
        <v>13.141</v>
      </c>
      <c r="BU8" s="29">
        <v>7.8019200000000009</v>
      </c>
      <c r="BV8" s="29">
        <v>2.6418239999999997</v>
      </c>
      <c r="BW8" s="29">
        <v>1.4244479999999999</v>
      </c>
      <c r="BX8" s="29">
        <v>4.9207679999999998</v>
      </c>
      <c r="BY8" s="30">
        <v>34.665984000000002</v>
      </c>
    </row>
    <row r="9" spans="1:77" x14ac:dyDescent="0.35">
      <c r="A9" s="12" t="s">
        <v>7</v>
      </c>
      <c r="B9" s="3">
        <v>27.630333333333333</v>
      </c>
      <c r="C9" s="2">
        <v>10.196999999999999</v>
      </c>
      <c r="D9" s="2">
        <v>7.8120000000000003</v>
      </c>
      <c r="E9" s="2">
        <v>3.1496666666666666</v>
      </c>
      <c r="F9" s="2">
        <v>54.242666666666672</v>
      </c>
      <c r="G9" s="2">
        <v>60.546333333333337</v>
      </c>
      <c r="H9" s="2">
        <v>9.9723333333333333</v>
      </c>
      <c r="I9" s="2">
        <v>18.180666666666667</v>
      </c>
      <c r="J9" s="2">
        <v>6.2093333333333334</v>
      </c>
      <c r="K9" s="2">
        <v>50.829000000000001</v>
      </c>
      <c r="L9" s="2">
        <v>82.872</v>
      </c>
      <c r="M9" s="2">
        <v>27.460666666666668</v>
      </c>
      <c r="N9" s="2">
        <v>6.6183333333333332</v>
      </c>
      <c r="O9" s="2">
        <v>25.918666666666667</v>
      </c>
      <c r="P9" s="2">
        <v>14.339666666666666</v>
      </c>
      <c r="Q9" s="2">
        <v>18.522666666666666</v>
      </c>
      <c r="R9" s="2">
        <v>113.127</v>
      </c>
      <c r="S9" s="2">
        <v>18.739999999999998</v>
      </c>
      <c r="T9" s="2">
        <v>47.661000000000001</v>
      </c>
      <c r="U9" s="2">
        <v>13.045333333333334</v>
      </c>
      <c r="V9" s="2">
        <v>17.816666666666666</v>
      </c>
      <c r="W9" s="2">
        <v>37.55233333333333</v>
      </c>
      <c r="X9" s="2">
        <v>43.548333333333339</v>
      </c>
      <c r="Y9" s="2">
        <v>100.18366666666667</v>
      </c>
      <c r="Z9" s="2">
        <v>13.982999999999999</v>
      </c>
      <c r="AA9" s="2">
        <v>21.047000000000001</v>
      </c>
      <c r="AB9" s="2">
        <v>66.369666666666674</v>
      </c>
      <c r="AC9" s="2">
        <v>27.570333333333334</v>
      </c>
      <c r="AD9" s="2">
        <v>65.191666666666663</v>
      </c>
      <c r="AE9" s="2">
        <v>50.529666666666664</v>
      </c>
      <c r="AF9" s="2">
        <v>37.56366666666667</v>
      </c>
      <c r="AG9" s="2">
        <v>46.292999999999999</v>
      </c>
      <c r="AH9" s="2">
        <v>15.938000000000001</v>
      </c>
      <c r="AI9" s="2">
        <v>26.173333333333332</v>
      </c>
      <c r="AJ9" s="2">
        <v>70.522666666666666</v>
      </c>
      <c r="AK9" s="2">
        <v>21.721333333333334</v>
      </c>
      <c r="AL9" s="2">
        <v>42.20366666666667</v>
      </c>
      <c r="AM9" s="2">
        <v>46.062666666666665</v>
      </c>
      <c r="AN9" s="2">
        <v>67.668333333333337</v>
      </c>
      <c r="AO9" s="2">
        <v>35.706333333333333</v>
      </c>
      <c r="AP9" s="2">
        <v>236.19466666666665</v>
      </c>
      <c r="AQ9" s="2">
        <v>151.96333333333334</v>
      </c>
      <c r="AR9" s="2">
        <v>34.266333333333336</v>
      </c>
      <c r="AS9" s="2">
        <v>21.796666666666667</v>
      </c>
      <c r="AT9" s="2">
        <v>5.730666666666667</v>
      </c>
      <c r="AU9" s="2">
        <v>2.4016666666666668</v>
      </c>
      <c r="AV9" s="2">
        <v>16.773333333333333</v>
      </c>
      <c r="AW9" s="2">
        <v>5.7130000000000001</v>
      </c>
      <c r="AX9" s="2">
        <v>7.7763333333333335</v>
      </c>
      <c r="AY9" s="2">
        <v>6.6353333333333326</v>
      </c>
      <c r="AZ9" s="2">
        <v>3.954333333333333</v>
      </c>
      <c r="BA9" s="2">
        <v>4.9470000000000001</v>
      </c>
      <c r="BB9" s="2">
        <v>7.7833333333333341</v>
      </c>
      <c r="BC9" s="2">
        <v>4.0903333333333336</v>
      </c>
      <c r="BD9" s="2">
        <v>20.989000000000001</v>
      </c>
      <c r="BE9" s="2">
        <v>12.741333333333332</v>
      </c>
      <c r="BF9" s="2">
        <v>12.313000000000001</v>
      </c>
      <c r="BG9" s="2">
        <v>20.673333333333336</v>
      </c>
      <c r="BH9" s="2">
        <v>15.625666666666667</v>
      </c>
      <c r="BI9" s="2">
        <v>5.4359999999999999</v>
      </c>
      <c r="BJ9" s="2">
        <v>29.792000000000002</v>
      </c>
      <c r="BK9" s="2">
        <v>2.7066666666666666</v>
      </c>
      <c r="BL9" s="2">
        <v>7.4336666666666664</v>
      </c>
      <c r="BM9" s="2">
        <v>90.158333333333346</v>
      </c>
      <c r="BN9" s="2">
        <v>9.9823333333333331</v>
      </c>
      <c r="BO9" s="2">
        <v>2.4339999999999997</v>
      </c>
      <c r="BP9" s="2">
        <v>13.379</v>
      </c>
      <c r="BQ9" s="2">
        <v>117.748</v>
      </c>
      <c r="BR9" s="2">
        <v>6.7086666666666668</v>
      </c>
      <c r="BS9" s="2">
        <v>1.2743333333333333</v>
      </c>
      <c r="BT9" s="2">
        <v>10.262592</v>
      </c>
      <c r="BU9" s="29">
        <v>8.9533440000000013</v>
      </c>
      <c r="BV9" s="29">
        <v>43.449120000000001</v>
      </c>
      <c r="BW9" s="29">
        <v>1.2925439999999999</v>
      </c>
      <c r="BX9" s="29">
        <v>0.95040000000000013</v>
      </c>
      <c r="BY9" s="30">
        <v>7.0447679999999995</v>
      </c>
    </row>
    <row r="10" spans="1:77" x14ac:dyDescent="0.35">
      <c r="A10" s="12" t="s">
        <v>8</v>
      </c>
      <c r="B10" s="3">
        <v>40.623333333333335</v>
      </c>
      <c r="C10" s="2">
        <v>8.4700000000000006</v>
      </c>
      <c r="D10" s="2">
        <v>5.0983333333333327</v>
      </c>
      <c r="E10" s="2">
        <v>9.6623333333333328</v>
      </c>
      <c r="F10" s="2">
        <v>20.568000000000001</v>
      </c>
      <c r="G10" s="2">
        <v>28.946999999999999</v>
      </c>
      <c r="H10" s="2">
        <v>11.906000000000001</v>
      </c>
      <c r="I10" s="2">
        <v>8.0066666666666659</v>
      </c>
      <c r="J10" s="2">
        <v>282.226</v>
      </c>
      <c r="K10" s="2">
        <v>57.038333333333334</v>
      </c>
      <c r="L10" s="2">
        <v>46.097333333333331</v>
      </c>
      <c r="M10" s="2">
        <v>18.561666666666667</v>
      </c>
      <c r="N10" s="2">
        <v>42.116999999999997</v>
      </c>
      <c r="O10" s="2">
        <v>32.719666666666669</v>
      </c>
      <c r="P10" s="2">
        <v>19.215333333333334</v>
      </c>
      <c r="Q10" s="2">
        <v>26.846</v>
      </c>
      <c r="R10" s="2">
        <v>250.04433333333336</v>
      </c>
      <c r="S10" s="2">
        <v>55.915333333333336</v>
      </c>
      <c r="T10" s="2">
        <v>192.70366666666666</v>
      </c>
      <c r="U10" s="2">
        <v>19.307666666666666</v>
      </c>
      <c r="V10" s="2">
        <v>39.594333333333331</v>
      </c>
      <c r="W10" s="2">
        <v>26.316333333333333</v>
      </c>
      <c r="X10" s="2">
        <v>108.164</v>
      </c>
      <c r="Y10" s="2">
        <v>81.149666666666675</v>
      </c>
      <c r="Z10" s="2">
        <v>126.416</v>
      </c>
      <c r="AA10" s="2">
        <v>16.188333333333333</v>
      </c>
      <c r="AB10" s="2">
        <v>32.854999999999997</v>
      </c>
      <c r="AC10" s="2">
        <v>7.3563333333333327</v>
      </c>
      <c r="AD10" s="2">
        <v>183.38966666666667</v>
      </c>
      <c r="AE10" s="2">
        <v>10.058666666666666</v>
      </c>
      <c r="AF10" s="2">
        <v>54.489666666666665</v>
      </c>
      <c r="AG10" s="2">
        <v>113.901</v>
      </c>
      <c r="AH10" s="2">
        <v>13.106999999999999</v>
      </c>
      <c r="AI10" s="2">
        <v>12.073</v>
      </c>
      <c r="AJ10" s="2">
        <v>27.233333333333334</v>
      </c>
      <c r="AK10" s="2">
        <v>40.95066666666667</v>
      </c>
      <c r="AL10" s="2">
        <v>118.47466666666666</v>
      </c>
      <c r="AM10" s="2">
        <v>26.383666666666667</v>
      </c>
      <c r="AN10" s="2">
        <v>37.615666666666662</v>
      </c>
      <c r="AO10" s="2">
        <v>25.136666666666667</v>
      </c>
      <c r="AP10" s="2">
        <v>145.846</v>
      </c>
      <c r="AQ10" s="2">
        <v>428.51533333333333</v>
      </c>
      <c r="AR10" s="2">
        <v>15.362</v>
      </c>
      <c r="AS10" s="2">
        <v>23.126333333333335</v>
      </c>
      <c r="AT10" s="2">
        <v>8.2506666666666657</v>
      </c>
      <c r="AU10" s="2">
        <v>6.7206666666666663</v>
      </c>
      <c r="AV10" s="2">
        <v>9.5986666666666665</v>
      </c>
      <c r="AW10" s="2">
        <v>3.1156666666666664</v>
      </c>
      <c r="AX10" s="2">
        <v>1.5253333333333332</v>
      </c>
      <c r="AY10" s="2">
        <v>3.58</v>
      </c>
      <c r="AZ10" s="2">
        <v>1.9716666666666667</v>
      </c>
      <c r="BA10" s="2">
        <v>1.5049999999999999</v>
      </c>
      <c r="BB10" s="2">
        <v>1.3273333333333335</v>
      </c>
      <c r="BC10" s="2">
        <v>2.1949999999999998</v>
      </c>
      <c r="BD10" s="2">
        <v>33.638666666666666</v>
      </c>
      <c r="BE10" s="2">
        <v>3.2676666666666669</v>
      </c>
      <c r="BF10" s="2">
        <v>85.550666666666658</v>
      </c>
      <c r="BG10" s="2">
        <v>14.851999999999999</v>
      </c>
      <c r="BH10" s="2">
        <v>624.4473333333334</v>
      </c>
      <c r="BI10" s="2">
        <v>6.6840000000000002</v>
      </c>
      <c r="BJ10" s="2">
        <v>43.551333333333332</v>
      </c>
      <c r="BK10" s="2">
        <v>5.5783333333333331</v>
      </c>
      <c r="BL10" s="2">
        <v>7.5799999999999992</v>
      </c>
      <c r="BM10" s="2">
        <v>75.608666666666664</v>
      </c>
      <c r="BN10" s="2">
        <v>104.45966666666668</v>
      </c>
      <c r="BO10" s="2">
        <v>4.6566666666666672</v>
      </c>
      <c r="BP10" s="2">
        <v>36.506999999999998</v>
      </c>
      <c r="BQ10" s="2">
        <v>74.894333333333336</v>
      </c>
      <c r="BR10" s="2">
        <v>15.887333333333332</v>
      </c>
      <c r="BS10" s="2">
        <v>7.2540000000000004</v>
      </c>
      <c r="BT10" s="2">
        <v>34.110720000000001</v>
      </c>
      <c r="BU10" s="29">
        <v>1.6064640000000001</v>
      </c>
      <c r="BV10" s="29">
        <v>157.68576000000002</v>
      </c>
      <c r="BW10" s="29">
        <v>4.5106560000000009</v>
      </c>
      <c r="BX10" s="29">
        <v>8.365535999999997</v>
      </c>
      <c r="BY10" s="30">
        <v>12.323520000000004</v>
      </c>
    </row>
    <row r="11" spans="1:77" x14ac:dyDescent="0.35">
      <c r="A11" s="12" t="s">
        <v>9</v>
      </c>
      <c r="B11" s="3">
        <v>30.303000000000001</v>
      </c>
      <c r="C11" s="2">
        <v>8.2643333333333331</v>
      </c>
      <c r="D11" s="2">
        <v>5.0163333333333329</v>
      </c>
      <c r="E11" s="2">
        <v>2.4216666666666664</v>
      </c>
      <c r="F11" s="2">
        <v>10.319666666666667</v>
      </c>
      <c r="G11" s="2">
        <v>51.903333333333336</v>
      </c>
      <c r="H11" s="2">
        <v>8.3516666666666666</v>
      </c>
      <c r="I11" s="2">
        <v>30.381333333333334</v>
      </c>
      <c r="J11" s="2">
        <v>399.36966666666666</v>
      </c>
      <c r="K11" s="2">
        <v>11.275333333333334</v>
      </c>
      <c r="L11" s="2">
        <v>14.843666666666666</v>
      </c>
      <c r="M11" s="2">
        <v>18.665333333333333</v>
      </c>
      <c r="N11" s="2">
        <v>27.745999999999999</v>
      </c>
      <c r="O11" s="2">
        <v>13.060666666666668</v>
      </c>
      <c r="P11" s="2">
        <v>14.051333333333334</v>
      </c>
      <c r="Q11" s="2">
        <v>12.487666666666668</v>
      </c>
      <c r="R11" s="2">
        <v>35.173333333333332</v>
      </c>
      <c r="S11" s="2">
        <v>24.358999999999998</v>
      </c>
      <c r="T11" s="2">
        <v>78.053666666666672</v>
      </c>
      <c r="U11" s="2">
        <v>18.722999999999999</v>
      </c>
      <c r="V11" s="2">
        <v>61.586000000000006</v>
      </c>
      <c r="W11" s="2">
        <v>28.596333333333334</v>
      </c>
      <c r="X11" s="2">
        <v>25.640666666666664</v>
      </c>
      <c r="Y11" s="2">
        <v>10.260333333333334</v>
      </c>
      <c r="Z11" s="2">
        <v>93.283333333333346</v>
      </c>
      <c r="AA11" s="2">
        <v>9.488666666666667</v>
      </c>
      <c r="AB11" s="2">
        <v>13.231333333333334</v>
      </c>
      <c r="AC11" s="2">
        <v>6.9416666666666664</v>
      </c>
      <c r="AD11" s="2">
        <v>269.709</v>
      </c>
      <c r="AE11" s="2">
        <v>7.6400000000000006</v>
      </c>
      <c r="AF11" s="2">
        <v>27.587666666666667</v>
      </c>
      <c r="AG11" s="2">
        <v>70.660666666666671</v>
      </c>
      <c r="AH11" s="2">
        <v>7.8193333333333328</v>
      </c>
      <c r="AI11" s="2">
        <v>17.593999999999998</v>
      </c>
      <c r="AJ11" s="2">
        <v>22.804000000000002</v>
      </c>
      <c r="AK11" s="2">
        <v>40.055</v>
      </c>
      <c r="AL11" s="2">
        <v>36.270666666666664</v>
      </c>
      <c r="AM11" s="2">
        <v>30.971666666666668</v>
      </c>
      <c r="AN11" s="2">
        <v>22.890333333333334</v>
      </c>
      <c r="AO11" s="2">
        <v>25.92</v>
      </c>
      <c r="AP11" s="2">
        <v>156.31766666666667</v>
      </c>
      <c r="AQ11" s="2">
        <v>96.469333333333338</v>
      </c>
      <c r="AR11" s="2">
        <v>11.427999999999999</v>
      </c>
      <c r="AS11" s="2">
        <v>15.004666666666667</v>
      </c>
      <c r="AT11" s="2">
        <v>4.3926666666666669</v>
      </c>
      <c r="AU11" s="2">
        <v>0.98366666666666669</v>
      </c>
      <c r="AV11" s="2">
        <v>39.304333333333332</v>
      </c>
      <c r="AW11" s="2">
        <v>2.6606666666666667</v>
      </c>
      <c r="AX11" s="2">
        <v>3.5806666666666671</v>
      </c>
      <c r="AY11" s="2">
        <v>1.6813333333333331</v>
      </c>
      <c r="AZ11" s="2">
        <v>7.512666666666667</v>
      </c>
      <c r="BA11" s="2">
        <v>0.85466666666666669</v>
      </c>
      <c r="BB11" s="2">
        <v>0.41833333333333328</v>
      </c>
      <c r="BC11" s="2">
        <v>24.455666666666669</v>
      </c>
      <c r="BD11" s="2">
        <v>8.2026666666666674</v>
      </c>
      <c r="BE11" s="2">
        <v>10.584666666666667</v>
      </c>
      <c r="BF11" s="2">
        <v>26.731999999999999</v>
      </c>
      <c r="BG11" s="2">
        <v>8.0303333333333331</v>
      </c>
      <c r="BH11" s="2">
        <v>229.88166666666666</v>
      </c>
      <c r="BI11" s="2">
        <v>30.421000000000003</v>
      </c>
      <c r="BJ11" s="2">
        <v>21.831999999999997</v>
      </c>
      <c r="BK11" s="2">
        <v>1.8223333333333331</v>
      </c>
      <c r="BL11" s="2">
        <v>1.6993333333333334</v>
      </c>
      <c r="BM11" s="2">
        <v>19.413333333333334</v>
      </c>
      <c r="BN11" s="2">
        <v>39.032666666666664</v>
      </c>
      <c r="BO11" s="2">
        <v>15.877333333333333</v>
      </c>
      <c r="BP11" s="2">
        <v>20.220333333333333</v>
      </c>
      <c r="BQ11" s="2">
        <v>30.475999999999999</v>
      </c>
      <c r="BR11" s="2">
        <v>17.541999999999998</v>
      </c>
      <c r="BS11" s="2">
        <v>10.770333333333333</v>
      </c>
      <c r="BT11" s="2">
        <v>22.201920000000008</v>
      </c>
      <c r="BU11" s="29">
        <v>0.85248000000000013</v>
      </c>
      <c r="BV11" s="29">
        <v>43.632000000000005</v>
      </c>
      <c r="BW11" s="29">
        <v>0.47923200000000005</v>
      </c>
      <c r="BX11" s="29">
        <v>0.48326400000000003</v>
      </c>
      <c r="BY11" s="46">
        <v>2.7262080000000006</v>
      </c>
    </row>
    <row r="12" spans="1:77" x14ac:dyDescent="0.35">
      <c r="A12" s="12" t="s">
        <v>10</v>
      </c>
      <c r="B12" s="3">
        <v>17.186666666666667</v>
      </c>
      <c r="C12" s="2">
        <v>8.5109999999999992</v>
      </c>
      <c r="D12" s="2">
        <v>4.3583333333333334</v>
      </c>
      <c r="E12" s="2">
        <v>3.9103333333333334</v>
      </c>
      <c r="F12" s="2">
        <v>5.6836666666666664</v>
      </c>
      <c r="G12" s="2">
        <v>11.479666666666667</v>
      </c>
      <c r="H12" s="2">
        <v>8.4143333333333334</v>
      </c>
      <c r="I12" s="2">
        <v>9.2863333333333333</v>
      </c>
      <c r="J12" s="2">
        <v>44.158999999999999</v>
      </c>
      <c r="K12" s="2">
        <v>11.537333333333335</v>
      </c>
      <c r="L12" s="2">
        <v>21.052666666666667</v>
      </c>
      <c r="M12" s="2">
        <v>12.029666666666666</v>
      </c>
      <c r="N12" s="2">
        <v>13.325666666666665</v>
      </c>
      <c r="O12" s="2">
        <v>12.562666666666667</v>
      </c>
      <c r="P12" s="2">
        <v>11.893333333333333</v>
      </c>
      <c r="Q12" s="2">
        <v>14.788666666666666</v>
      </c>
      <c r="R12" s="2">
        <v>16.473666666666666</v>
      </c>
      <c r="S12" s="2">
        <v>18.443666666666669</v>
      </c>
      <c r="T12" s="2">
        <v>51.523333333333333</v>
      </c>
      <c r="U12" s="2">
        <v>13.839333333333334</v>
      </c>
      <c r="V12" s="2">
        <v>34.096333333333334</v>
      </c>
      <c r="W12" s="2">
        <v>3.0773333333333333</v>
      </c>
      <c r="X12" s="2">
        <v>10.814333333333332</v>
      </c>
      <c r="Y12" s="2">
        <v>9.8669999999999991</v>
      </c>
      <c r="Z12" s="2">
        <v>26.346333333333334</v>
      </c>
      <c r="AA12" s="2">
        <v>9.445666666666666</v>
      </c>
      <c r="AB12" s="2">
        <v>6.1053333333333333</v>
      </c>
      <c r="AC12" s="2">
        <v>6.0986666666666665</v>
      </c>
      <c r="AD12" s="2">
        <v>56.5</v>
      </c>
      <c r="AE12" s="2">
        <v>6.5</v>
      </c>
      <c r="AF12" s="2">
        <v>11.580333333333334</v>
      </c>
      <c r="AG12" s="2">
        <v>30.818999999999999</v>
      </c>
      <c r="AH12" s="2">
        <v>4.8613333333333335</v>
      </c>
      <c r="AI12" s="2">
        <v>17.164666666666665</v>
      </c>
      <c r="AJ12" s="2">
        <v>9.3780000000000001</v>
      </c>
      <c r="AK12" s="2">
        <v>11.744666666666667</v>
      </c>
      <c r="AL12" s="2">
        <v>11.972</v>
      </c>
      <c r="AM12" s="2">
        <v>10.756333333333332</v>
      </c>
      <c r="AN12" s="2">
        <v>19.413999999999998</v>
      </c>
      <c r="AO12" s="2">
        <v>10.459666666666667</v>
      </c>
      <c r="AP12" s="2">
        <v>52.050333333333334</v>
      </c>
      <c r="AQ12" s="2">
        <v>4.3460000000000001</v>
      </c>
      <c r="AR12" s="2">
        <v>12.412666666666667</v>
      </c>
      <c r="AS12" s="2">
        <v>12.133333333333333</v>
      </c>
      <c r="AT12" s="2">
        <v>2.2389999999999999</v>
      </c>
      <c r="AU12" s="2">
        <v>0.65433333333333332</v>
      </c>
      <c r="AV12" s="2">
        <v>2.1003333333333334</v>
      </c>
      <c r="AW12" s="2">
        <v>2.2396666666666669</v>
      </c>
      <c r="AX12" s="2">
        <v>1.2673333333333334</v>
      </c>
      <c r="AY12" s="2">
        <v>1.2926666666666666</v>
      </c>
      <c r="AZ12" s="2">
        <v>1.8310000000000002</v>
      </c>
      <c r="BA12" s="2">
        <v>0.25266666666666665</v>
      </c>
      <c r="BB12" s="2">
        <v>0.432</v>
      </c>
      <c r="BC12" s="2">
        <v>1.3396666666666668</v>
      </c>
      <c r="BD12" s="2">
        <v>28.058666666666667</v>
      </c>
      <c r="BE12" s="2">
        <v>1.4686666666666666</v>
      </c>
      <c r="BF12" s="2">
        <v>2.8513333333333333</v>
      </c>
      <c r="BG12" s="2">
        <v>0.92966666666666675</v>
      </c>
      <c r="BH12" s="2">
        <v>12.135</v>
      </c>
      <c r="BI12" s="2">
        <v>4.7619999999999996</v>
      </c>
      <c r="BJ12" s="2">
        <v>1.1279999999999999</v>
      </c>
      <c r="BK12" s="2">
        <v>0.6</v>
      </c>
      <c r="BL12" s="2">
        <v>0.40966666666666668</v>
      </c>
      <c r="BM12" s="2">
        <v>11.099333333333334</v>
      </c>
      <c r="BN12" s="2">
        <v>19.840333333333334</v>
      </c>
      <c r="BO12" s="2">
        <v>18.483999999999998</v>
      </c>
      <c r="BP12" s="2">
        <v>4.9453333333333331</v>
      </c>
      <c r="BQ12" s="2">
        <v>16.551333333333336</v>
      </c>
      <c r="BR12" s="2">
        <v>14.057333333333332</v>
      </c>
      <c r="BS12" s="2">
        <v>13.406333333333334</v>
      </c>
      <c r="BT12" s="2">
        <v>16.149312000000002</v>
      </c>
      <c r="BU12" s="29">
        <v>0.28022400000000008</v>
      </c>
      <c r="BV12" s="29">
        <v>8.9639999999999986</v>
      </c>
      <c r="BW12" s="29">
        <v>0.29692799999999997</v>
      </c>
      <c r="BX12" s="29">
        <v>0.26784000000000002</v>
      </c>
      <c r="BY12" s="30"/>
    </row>
    <row r="13" spans="1:77" ht="15" thickBot="1" x14ac:dyDescent="0.4">
      <c r="A13" s="13" t="s">
        <v>11</v>
      </c>
      <c r="B13" s="5">
        <v>15.624333333333334</v>
      </c>
      <c r="C13" s="4">
        <v>8.0176666666666669</v>
      </c>
      <c r="D13" s="4">
        <v>4.7696666666666667</v>
      </c>
      <c r="E13" s="4">
        <v>4.0869999999999997</v>
      </c>
      <c r="F13" s="4">
        <v>4.2456666666666667</v>
      </c>
      <c r="G13" s="4">
        <v>7.6390000000000002</v>
      </c>
      <c r="H13" s="4">
        <v>7.8256666666666668</v>
      </c>
      <c r="I13" s="4">
        <v>8.613666666666667</v>
      </c>
      <c r="J13" s="4">
        <v>22.680000000000003</v>
      </c>
      <c r="K13" s="4">
        <v>11.983666666666666</v>
      </c>
      <c r="L13" s="4">
        <v>25.646333333333331</v>
      </c>
      <c r="M13" s="4">
        <v>11.445</v>
      </c>
      <c r="N13" s="4">
        <v>13.593666666666666</v>
      </c>
      <c r="O13" s="4">
        <v>9.8666666666666671</v>
      </c>
      <c r="P13" s="4">
        <v>12.012333333333332</v>
      </c>
      <c r="Q13" s="4">
        <v>10.729333333333335</v>
      </c>
      <c r="R13" s="4">
        <v>11.842666666666666</v>
      </c>
      <c r="S13" s="4">
        <v>12.640333333333333</v>
      </c>
      <c r="T13" s="4">
        <v>14.412666666666667</v>
      </c>
      <c r="U13" s="4">
        <v>12.363999999999999</v>
      </c>
      <c r="V13" s="4">
        <v>19.670333333333335</v>
      </c>
      <c r="W13" s="4">
        <v>21.016333333333332</v>
      </c>
      <c r="X13" s="4">
        <v>9.9676666666666662</v>
      </c>
      <c r="Y13" s="4">
        <v>7.5686666666666662</v>
      </c>
      <c r="Z13" s="4">
        <v>12.896666666666667</v>
      </c>
      <c r="AA13" s="4">
        <v>10.137666666666666</v>
      </c>
      <c r="AB13" s="4">
        <v>8.0183333333333326</v>
      </c>
      <c r="AC13" s="4">
        <v>7.1406666666666672</v>
      </c>
      <c r="AD13" s="4">
        <v>16.384666666666668</v>
      </c>
      <c r="AE13" s="4">
        <v>5.6426666666666669</v>
      </c>
      <c r="AF13" s="4">
        <v>9.4866666666666664</v>
      </c>
      <c r="AG13" s="4">
        <v>27.123999999999999</v>
      </c>
      <c r="AH13" s="4">
        <v>3.0356666666666663</v>
      </c>
      <c r="AI13" s="4">
        <v>6.2503333333333337</v>
      </c>
      <c r="AJ13" s="4">
        <v>10.213333333333333</v>
      </c>
      <c r="AK13" s="4">
        <v>9.7373333333333338</v>
      </c>
      <c r="AL13" s="4">
        <v>14.584333333333333</v>
      </c>
      <c r="AM13" s="4">
        <v>9.1883333333333344</v>
      </c>
      <c r="AN13" s="4">
        <v>11.997999999999999</v>
      </c>
      <c r="AO13" s="4">
        <v>7.6206666666666658</v>
      </c>
      <c r="AP13" s="4">
        <v>6.9003333333333332</v>
      </c>
      <c r="AQ13" s="4">
        <v>19.974666666666668</v>
      </c>
      <c r="AR13" s="4">
        <v>5.1429999999999998</v>
      </c>
      <c r="AS13" s="4">
        <v>11.497</v>
      </c>
      <c r="AT13" s="4">
        <v>1.8903333333333334</v>
      </c>
      <c r="AU13" s="4">
        <v>0.69799999999999995</v>
      </c>
      <c r="AV13" s="4">
        <v>1.6139999999999999</v>
      </c>
      <c r="AW13" s="4">
        <v>1.5056666666666667</v>
      </c>
      <c r="AX13" s="4">
        <v>1.4226666666666665</v>
      </c>
      <c r="AY13" s="4">
        <v>1.42</v>
      </c>
      <c r="AZ13" s="4">
        <v>5.9276666666666671</v>
      </c>
      <c r="BA13" s="4">
        <v>0.33800000000000002</v>
      </c>
      <c r="BB13" s="4">
        <v>0.40399999999999997</v>
      </c>
      <c r="BC13" s="4">
        <v>1.272</v>
      </c>
      <c r="BD13" s="4">
        <v>3.156333333333333</v>
      </c>
      <c r="BE13" s="4">
        <v>1.2633333333333334</v>
      </c>
      <c r="BF13" s="4">
        <v>1.5443333333333333</v>
      </c>
      <c r="BG13" s="4">
        <v>0.81933333333333336</v>
      </c>
      <c r="BH13" s="4">
        <v>4.9373333333333331</v>
      </c>
      <c r="BI13" s="4">
        <v>3.6093333333333333</v>
      </c>
      <c r="BJ13" s="4">
        <v>0.82433333333333325</v>
      </c>
      <c r="BK13" s="4">
        <v>0.58666666666666667</v>
      </c>
      <c r="BL13" s="4">
        <v>0.32566666666666666</v>
      </c>
      <c r="BM13" s="4">
        <v>9.6693333333333324</v>
      </c>
      <c r="BN13" s="4">
        <v>12.584000000000001</v>
      </c>
      <c r="BO13" s="4">
        <v>16.559999999999999</v>
      </c>
      <c r="BP13" s="4">
        <v>9.8409999999999993</v>
      </c>
      <c r="BQ13" s="4">
        <v>9.0890000000000004</v>
      </c>
      <c r="BR13" s="4">
        <v>2.2923333333333331</v>
      </c>
      <c r="BS13" s="4">
        <v>13.040666666666667</v>
      </c>
      <c r="BT13" s="4">
        <v>1.9249920000000003</v>
      </c>
      <c r="BU13" s="35">
        <v>0.26150400000000007</v>
      </c>
      <c r="BV13" s="35">
        <v>4.9239359999999985</v>
      </c>
      <c r="BW13" s="35">
        <v>0.26640000000000003</v>
      </c>
      <c r="BX13" s="35">
        <v>0.15724799999999997</v>
      </c>
      <c r="BY13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>
      <selection activeCell="BY11" sqref="BY11"/>
    </sheetView>
  </sheetViews>
  <sheetFormatPr baseColWidth="10" defaultRowHeight="14.5" x14ac:dyDescent="0.35"/>
  <sheetData>
    <row r="1" spans="1:77" ht="15" thickBot="1" x14ac:dyDescent="0.4">
      <c r="A1" s="14" t="s">
        <v>14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3.7333333333333336E-2</v>
      </c>
      <c r="D2" s="7">
        <v>1.7866666666666666E-2</v>
      </c>
      <c r="E2" s="7">
        <v>0.152</v>
      </c>
      <c r="F2" s="7">
        <v>1.2966666666666666E-2</v>
      </c>
      <c r="G2" s="7">
        <v>0.13599999999999998</v>
      </c>
      <c r="H2" s="7">
        <v>9.2000000000000012E-2</v>
      </c>
      <c r="I2" s="7">
        <v>4.3666666666666666E-2</v>
      </c>
      <c r="J2" s="7">
        <v>0.15633333333333332</v>
      </c>
      <c r="K2" s="7">
        <v>0.26166666666666666</v>
      </c>
      <c r="L2" s="7">
        <v>9.8333333333333328E-2</v>
      </c>
      <c r="M2" s="7">
        <v>0.19166666666666665</v>
      </c>
      <c r="N2" s="7">
        <v>0.22066666666666668</v>
      </c>
      <c r="O2" s="7">
        <v>9.0000000000000011E-2</v>
      </c>
      <c r="P2" s="7">
        <v>1.9599999999999999E-2</v>
      </c>
      <c r="Q2" s="7">
        <v>0.30299999999999999</v>
      </c>
      <c r="R2" s="7">
        <v>9.3000000000000013E-2</v>
      </c>
      <c r="S2" s="7">
        <v>3.7666666666666668E-2</v>
      </c>
      <c r="T2" s="7">
        <v>7.7333333333333337E-2</v>
      </c>
      <c r="U2" s="7">
        <v>2.2766666666666668E-2</v>
      </c>
      <c r="V2" s="7">
        <v>0.25633333333333336</v>
      </c>
      <c r="W2" s="7">
        <v>0.14633333333333334</v>
      </c>
      <c r="X2" s="7">
        <v>0.29599999999999999</v>
      </c>
      <c r="Y2" s="7">
        <v>0.16400000000000001</v>
      </c>
      <c r="Z2" s="7">
        <v>0.19633333333333333</v>
      </c>
      <c r="AA2" s="7">
        <v>0.309</v>
      </c>
      <c r="AB2" s="7">
        <v>0.22333333333333336</v>
      </c>
      <c r="AC2" s="7">
        <v>0.32100000000000001</v>
      </c>
      <c r="AD2" s="7">
        <v>0.11499999999999999</v>
      </c>
      <c r="AE2" s="7">
        <v>0.18999999999999997</v>
      </c>
      <c r="AF2" s="7">
        <v>7.1333333333333332E-2</v>
      </c>
      <c r="AG2" s="7">
        <v>0.19333333333333333</v>
      </c>
      <c r="AH2" s="7">
        <v>0.21866666666666668</v>
      </c>
      <c r="AI2" s="7">
        <v>0.109</v>
      </c>
      <c r="AJ2" s="7">
        <v>0.19733333333333333</v>
      </c>
      <c r="AK2" s="7">
        <v>0.23166666666666666</v>
      </c>
      <c r="AL2" s="7">
        <v>9.9666666666666667E-2</v>
      </c>
      <c r="AM2" s="7">
        <v>0.28899999999999998</v>
      </c>
      <c r="AN2" s="7">
        <v>0.28066666666666668</v>
      </c>
      <c r="AO2" s="7">
        <v>0.21033333333333334</v>
      </c>
      <c r="AP2" s="7">
        <v>7.4666666666666673E-2</v>
      </c>
      <c r="AQ2" s="7">
        <v>0.20299999999999999</v>
      </c>
      <c r="AR2" s="7">
        <v>0.47333333333333333</v>
      </c>
      <c r="AS2" s="7">
        <v>0.40766666666666668</v>
      </c>
      <c r="AT2" s="7">
        <v>0.21199999999999999</v>
      </c>
      <c r="AU2" s="7">
        <v>0.15066666666666667</v>
      </c>
      <c r="AV2" s="7">
        <v>4.1333333333333333E-2</v>
      </c>
      <c r="AW2" s="7">
        <v>9.0666666666666673E-2</v>
      </c>
      <c r="AX2" s="7">
        <v>0.13</v>
      </c>
      <c r="AY2" s="7">
        <v>0.11766666666666666</v>
      </c>
      <c r="AZ2" s="7">
        <v>0.22933333333333331</v>
      </c>
      <c r="BA2" s="7">
        <v>0.24066666666666667</v>
      </c>
      <c r="BB2" s="7">
        <v>6.0333333333333329E-2</v>
      </c>
      <c r="BC2" s="7">
        <v>0.24566666666666667</v>
      </c>
      <c r="BD2" s="7">
        <v>0.28099999999999997</v>
      </c>
      <c r="BE2" s="7">
        <v>0.38366666666666666</v>
      </c>
      <c r="BF2" s="7">
        <v>0.26400000000000001</v>
      </c>
      <c r="BG2" s="7">
        <v>0.31866666666666665</v>
      </c>
      <c r="BH2" s="7">
        <v>0.27666666666666667</v>
      </c>
      <c r="BI2" s="7">
        <v>0.39033333333333337</v>
      </c>
      <c r="BJ2" s="7">
        <v>0.36499999999999999</v>
      </c>
      <c r="BK2" s="7">
        <v>0.67333333333333334</v>
      </c>
      <c r="BL2" s="7">
        <v>0.19799999999999998</v>
      </c>
      <c r="BM2" s="7">
        <v>0.318</v>
      </c>
      <c r="BN2" s="7">
        <v>0.28966666666666668</v>
      </c>
      <c r="BO2" s="7">
        <v>0.30499999999999999</v>
      </c>
      <c r="BP2" s="7">
        <v>0.26100000000000001</v>
      </c>
      <c r="BQ2" s="7">
        <v>0.33766666666666662</v>
      </c>
      <c r="BR2" s="7">
        <v>0.32300000000000001</v>
      </c>
      <c r="BS2" s="7">
        <v>0.53433333333333333</v>
      </c>
      <c r="BT2" s="7">
        <v>0.251</v>
      </c>
      <c r="BU2" s="31">
        <v>0.19123200000000004</v>
      </c>
      <c r="BV2" s="31">
        <v>8.2943999999999934E-2</v>
      </c>
      <c r="BW2" s="31">
        <v>0.18000000000000005</v>
      </c>
      <c r="BX2" s="31">
        <v>0.16847999999999999</v>
      </c>
      <c r="BY2" s="32">
        <v>0.11606400000000006</v>
      </c>
    </row>
    <row r="3" spans="1:77" x14ac:dyDescent="0.35">
      <c r="A3" s="12" t="s">
        <v>1</v>
      </c>
      <c r="B3" s="3">
        <v>0.16233333333333333</v>
      </c>
      <c r="C3" s="2">
        <v>4.2999999999999997E-2</v>
      </c>
      <c r="D3" s="2">
        <v>2.0733333333333333E-2</v>
      </c>
      <c r="E3" s="2">
        <v>4.6666666666666669E-2</v>
      </c>
      <c r="F3" s="2">
        <v>1.3533333333333333E-2</v>
      </c>
      <c r="G3" s="2">
        <v>0.14933333333333335</v>
      </c>
      <c r="H3" s="2">
        <v>6.8666666666666668E-2</v>
      </c>
      <c r="I3" s="2">
        <v>3.7333333333333336E-2</v>
      </c>
      <c r="J3" s="2">
        <v>0.14866666666666667</v>
      </c>
      <c r="K3" s="2">
        <v>0.27066666666666667</v>
      </c>
      <c r="L3" s="2">
        <v>0.22133333333333335</v>
      </c>
      <c r="M3" s="2">
        <v>0.11499999999999999</v>
      </c>
      <c r="N3" s="2">
        <v>0.20866666666666667</v>
      </c>
      <c r="O3" s="2">
        <v>9.4666666666666663E-2</v>
      </c>
      <c r="P3" s="2">
        <v>1.6400000000000001E-2</v>
      </c>
      <c r="Q3" s="2">
        <v>0.29333333333333333</v>
      </c>
      <c r="R3" s="2">
        <v>7.6999999999999999E-2</v>
      </c>
      <c r="S3" s="2">
        <v>3.7999999999999999E-2</v>
      </c>
      <c r="T3" s="2">
        <v>7.6333333333333336E-2</v>
      </c>
      <c r="U3" s="2">
        <v>0.28599999999999998</v>
      </c>
      <c r="V3" s="2">
        <v>0.13333333333333333</v>
      </c>
      <c r="W3" s="2">
        <v>0.15366666666666667</v>
      </c>
      <c r="X3" s="2">
        <v>0.25966666666666666</v>
      </c>
      <c r="Y3" s="2">
        <v>0.17066666666666666</v>
      </c>
      <c r="Z3" s="2">
        <v>0.17233333333333334</v>
      </c>
      <c r="AA3" s="2">
        <v>0.26933333333333337</v>
      </c>
      <c r="AB3" s="2">
        <v>0.20033333333333334</v>
      </c>
      <c r="AC3" s="2">
        <v>0.29699999999999999</v>
      </c>
      <c r="AD3" s="2">
        <v>0.13033333333333333</v>
      </c>
      <c r="AE3" s="2">
        <v>0.17166666666666666</v>
      </c>
      <c r="AF3" s="2">
        <v>6.4000000000000001E-2</v>
      </c>
      <c r="AG3" s="2">
        <v>0.13200000000000001</v>
      </c>
      <c r="AH3" s="2">
        <v>0.25866666666666666</v>
      </c>
      <c r="AI3" s="2">
        <v>9.3000000000000013E-2</v>
      </c>
      <c r="AJ3" s="2">
        <v>0.11966666666666666</v>
      </c>
      <c r="AK3" s="2">
        <v>0.13166666666666668</v>
      </c>
      <c r="AL3" s="2">
        <v>6.4666666666666664E-2</v>
      </c>
      <c r="AM3" s="2">
        <v>0.26533333333333337</v>
      </c>
      <c r="AN3" s="2">
        <v>0.26366666666666666</v>
      </c>
      <c r="AO3" s="2">
        <v>0.16500000000000001</v>
      </c>
      <c r="AP3" s="2">
        <v>8.0333333333333326E-2</v>
      </c>
      <c r="AQ3" s="2">
        <v>0.218</v>
      </c>
      <c r="AR3" s="2">
        <v>0.78399999999999992</v>
      </c>
      <c r="AS3" s="2">
        <v>0.29299999999999998</v>
      </c>
      <c r="AT3" s="2">
        <v>0.21833333333333335</v>
      </c>
      <c r="AU3" s="2">
        <v>9.6666666666666665E-2</v>
      </c>
      <c r="AV3" s="2">
        <v>5.1999999999999998E-2</v>
      </c>
      <c r="AW3" s="2">
        <v>0.31133333333333335</v>
      </c>
      <c r="AX3" s="2">
        <v>0.11833333333333333</v>
      </c>
      <c r="AY3" s="2">
        <v>9.799999999999999E-2</v>
      </c>
      <c r="AZ3" s="2">
        <v>0.23533333333333331</v>
      </c>
      <c r="BA3" s="2">
        <v>0.214</v>
      </c>
      <c r="BB3" s="2">
        <v>5.2666666666666667E-2</v>
      </c>
      <c r="BC3" s="2">
        <v>0.21633333333333335</v>
      </c>
      <c r="BD3" s="2">
        <v>0.25666666666666665</v>
      </c>
      <c r="BE3" s="2">
        <v>0.40100000000000002</v>
      </c>
      <c r="BF3" s="2">
        <v>0.23766666666666666</v>
      </c>
      <c r="BG3" s="2">
        <v>0.20199999999999999</v>
      </c>
      <c r="BH3" s="2">
        <v>0.23033333333333331</v>
      </c>
      <c r="BI3" s="2">
        <v>0.26900000000000002</v>
      </c>
      <c r="BJ3" s="2">
        <v>0.40599999999999997</v>
      </c>
      <c r="BK3" s="2">
        <v>0.35833333333333334</v>
      </c>
      <c r="BL3" s="2">
        <v>0.23733333333333331</v>
      </c>
      <c r="BM3" s="2">
        <v>0.21299999999999999</v>
      </c>
      <c r="BN3" s="2">
        <v>0.253</v>
      </c>
      <c r="BO3" s="2">
        <v>0.26800000000000002</v>
      </c>
      <c r="BP3" s="2">
        <v>0.18666666666666668</v>
      </c>
      <c r="BQ3" s="2">
        <v>0.29333333333333333</v>
      </c>
      <c r="BR3" s="2">
        <v>0.29066666666666668</v>
      </c>
      <c r="BS3" s="2">
        <v>0.39900000000000002</v>
      </c>
      <c r="BT3" s="2">
        <v>0.22366666666666668</v>
      </c>
      <c r="BU3" s="29">
        <v>0.177984</v>
      </c>
      <c r="BV3" s="29">
        <v>9.446400000000002E-2</v>
      </c>
      <c r="BW3" s="29">
        <v>0.16963200000000001</v>
      </c>
      <c r="BX3" s="29">
        <v>0.14255999999999999</v>
      </c>
      <c r="BY3" s="30">
        <v>0.108288</v>
      </c>
    </row>
    <row r="4" spans="1:77" x14ac:dyDescent="0.35">
      <c r="A4" s="12" t="s">
        <v>2</v>
      </c>
      <c r="B4" s="3">
        <v>0.15333333333333335</v>
      </c>
      <c r="C4" s="2">
        <v>4.5666666666666661E-2</v>
      </c>
      <c r="D4" s="2">
        <v>2.4466666666666668E-2</v>
      </c>
      <c r="E4" s="2">
        <v>0.46566666666666667</v>
      </c>
      <c r="F4" s="2">
        <v>2.5066666666666668E-2</v>
      </c>
      <c r="G4" s="2">
        <v>0.12133333333333333</v>
      </c>
      <c r="H4" s="2">
        <v>8.9333333333333334E-2</v>
      </c>
      <c r="I4" s="2">
        <v>0.7443333333333334</v>
      </c>
      <c r="J4" s="2">
        <v>0.17700000000000002</v>
      </c>
      <c r="K4" s="2">
        <v>0.25233333333333335</v>
      </c>
      <c r="L4" s="2">
        <v>0.15933333333333333</v>
      </c>
      <c r="M4" s="2">
        <v>6.7999999999999991E-2</v>
      </c>
      <c r="N4" s="2">
        <v>0.17466666666666666</v>
      </c>
      <c r="O4" s="2">
        <v>0.109</v>
      </c>
      <c r="P4" s="2">
        <v>2.4199999999999999E-2</v>
      </c>
      <c r="Q4" s="2">
        <v>0.20166666666666666</v>
      </c>
      <c r="R4" s="2">
        <v>9.9999999999999992E-2</v>
      </c>
      <c r="S4" s="2">
        <v>5.4333333333333338E-2</v>
      </c>
      <c r="T4" s="2">
        <v>0.10266666666666667</v>
      </c>
      <c r="U4" s="2">
        <v>5.0333333333333334E-2</v>
      </c>
      <c r="V4" s="2">
        <v>0.16133333333333333</v>
      </c>
      <c r="W4" s="2">
        <v>0.15566666666666668</v>
      </c>
      <c r="X4" s="2">
        <v>0.21033333333333334</v>
      </c>
      <c r="Y4" s="2">
        <v>0.18366666666666667</v>
      </c>
      <c r="Z4" s="2">
        <v>0.16866666666666666</v>
      </c>
      <c r="AA4" s="2">
        <v>0.16900000000000001</v>
      </c>
      <c r="AB4" s="2">
        <v>0.17133333333333334</v>
      </c>
      <c r="AC4" s="2">
        <v>0.29966666666666669</v>
      </c>
      <c r="AD4" s="2">
        <v>0.11566666666666665</v>
      </c>
      <c r="AE4" s="2">
        <v>0.27566666666666667</v>
      </c>
      <c r="AF4" s="2">
        <v>7.1333333333333332E-2</v>
      </c>
      <c r="AG4" s="2">
        <v>0.16766666666666666</v>
      </c>
      <c r="AH4" s="2">
        <v>0.25266666666666665</v>
      </c>
      <c r="AI4" s="2">
        <v>9.2000000000000012E-2</v>
      </c>
      <c r="AJ4" s="2">
        <v>0.112</v>
      </c>
      <c r="AK4" s="2">
        <v>0.11899999999999999</v>
      </c>
      <c r="AL4" s="2">
        <v>5.7333333333333326E-2</v>
      </c>
      <c r="AM4" s="2">
        <v>0.21866666666666668</v>
      </c>
      <c r="AN4" s="2">
        <v>0.25166666666666665</v>
      </c>
      <c r="AO4" s="2">
        <v>0.22900000000000001</v>
      </c>
      <c r="AP4" s="2">
        <v>1.0713333333333332</v>
      </c>
      <c r="AQ4" s="2">
        <v>0.18100000000000002</v>
      </c>
      <c r="AR4" s="2">
        <v>0.8833333333333333</v>
      </c>
      <c r="AS4" s="2">
        <v>0.21433333333333335</v>
      </c>
      <c r="AT4" s="2">
        <v>0.33733333333333332</v>
      </c>
      <c r="AU4" s="2">
        <v>0.10266666666666667</v>
      </c>
      <c r="AV4" s="2">
        <v>6.1666666666666668E-2</v>
      </c>
      <c r="AW4" s="2">
        <v>0.71433333333333326</v>
      </c>
      <c r="AX4" s="2">
        <v>0.18733333333333335</v>
      </c>
      <c r="AY4" s="2">
        <v>0.34266666666666667</v>
      </c>
      <c r="AZ4" s="2">
        <v>0.18733333333333335</v>
      </c>
      <c r="BA4" s="2">
        <v>0.14499999999999999</v>
      </c>
      <c r="BB4" s="2">
        <v>6.133333333333333E-2</v>
      </c>
      <c r="BC4" s="2">
        <v>0.22366666666666668</v>
      </c>
      <c r="BD4" s="2">
        <v>0.60033333333333327</v>
      </c>
      <c r="BE4" s="2">
        <v>0.35699999999999998</v>
      </c>
      <c r="BF4" s="2">
        <v>0.23566666666666666</v>
      </c>
      <c r="BG4" s="2">
        <v>0.57666666666666666</v>
      </c>
      <c r="BH4" s="2">
        <v>0.25666666666666665</v>
      </c>
      <c r="BI4" s="2">
        <v>0.39133333333333331</v>
      </c>
      <c r="BJ4" s="2">
        <v>0.26800000000000002</v>
      </c>
      <c r="BK4" s="2">
        <v>0.35266666666666668</v>
      </c>
      <c r="BL4" s="2">
        <v>0.214</v>
      </c>
      <c r="BM4" s="2">
        <v>0.22433333333333336</v>
      </c>
      <c r="BN4" s="2">
        <v>0.24933333333333332</v>
      </c>
      <c r="BO4" s="2">
        <v>0.32833333333333331</v>
      </c>
      <c r="BP4" s="2">
        <v>0.29333333333333333</v>
      </c>
      <c r="BQ4" s="2">
        <v>0.27233333333333332</v>
      </c>
      <c r="BR4" s="2">
        <v>0.30633333333333335</v>
      </c>
      <c r="BS4" s="2">
        <v>0.42799999999999999</v>
      </c>
      <c r="BT4" s="2">
        <v>0.39033333333333337</v>
      </c>
      <c r="BU4" s="29">
        <v>0.18028799999999995</v>
      </c>
      <c r="BV4" s="29">
        <v>8.9855999999999978E-2</v>
      </c>
      <c r="BW4" s="29">
        <v>0.22550400000000004</v>
      </c>
      <c r="BX4" s="29">
        <v>0.13334400000000005</v>
      </c>
      <c r="BY4" s="30">
        <v>0.10540799999999997</v>
      </c>
    </row>
    <row r="5" spans="1:77" x14ac:dyDescent="0.35">
      <c r="A5" s="12" t="s">
        <v>3</v>
      </c>
      <c r="B5" s="3">
        <v>0.10666666666666667</v>
      </c>
      <c r="C5" s="2">
        <v>0.05</v>
      </c>
      <c r="D5" s="2">
        <v>6.3666666666666663E-2</v>
      </c>
      <c r="E5" s="2">
        <v>3.1099999999999999E-2</v>
      </c>
      <c r="F5" s="2">
        <v>1.2143333333333333</v>
      </c>
      <c r="G5" s="2">
        <v>0.155</v>
      </c>
      <c r="H5" s="2">
        <v>8.4666666666666668E-2</v>
      </c>
      <c r="I5" s="2">
        <v>6.8276666666666666</v>
      </c>
      <c r="J5" s="2">
        <v>0.11233333333333334</v>
      </c>
      <c r="K5" s="2">
        <v>0.28066666666666668</v>
      </c>
      <c r="L5" s="2">
        <v>0.109</v>
      </c>
      <c r="M5" s="2">
        <v>4.1000000000000002E-2</v>
      </c>
      <c r="N5" s="2">
        <v>0.26666666666666666</v>
      </c>
      <c r="O5" s="2">
        <v>9.4333333333333325E-2</v>
      </c>
      <c r="P5" s="2">
        <v>0.30733333333333335</v>
      </c>
      <c r="Q5" s="2">
        <v>0.215</v>
      </c>
      <c r="R5" s="2">
        <v>1.5356666666666667</v>
      </c>
      <c r="S5" s="2">
        <v>3.5999999999999997E-2</v>
      </c>
      <c r="T5" s="2">
        <v>0.64166666666666672</v>
      </c>
      <c r="U5" s="2">
        <v>2.5059999999999998</v>
      </c>
      <c r="V5" s="2">
        <v>9.5333333333333325E-2</v>
      </c>
      <c r="W5" s="2">
        <v>0.97233333333333327</v>
      </c>
      <c r="X5" s="2">
        <v>0.27199999999999996</v>
      </c>
      <c r="Y5" s="2">
        <v>0.12066666666666666</v>
      </c>
      <c r="Z5" s="2">
        <v>0.13533333333333333</v>
      </c>
      <c r="AA5" s="2">
        <v>0.15366666666666667</v>
      </c>
      <c r="AB5" s="2">
        <v>0.42333333333333334</v>
      </c>
      <c r="AC5" s="2">
        <v>0.4423333333333333</v>
      </c>
      <c r="AD5" s="2">
        <v>0.27299999999999996</v>
      </c>
      <c r="AE5" s="2">
        <v>0.23333333333333331</v>
      </c>
      <c r="AF5" s="2">
        <v>4.9333333333333333E-2</v>
      </c>
      <c r="AG5" s="2">
        <v>2.5129999999999999</v>
      </c>
      <c r="AH5" s="2">
        <v>0.16433333333333333</v>
      </c>
      <c r="AI5" s="2">
        <v>7.0999999999999994E-2</v>
      </c>
      <c r="AJ5" s="2">
        <v>9.6999999999999989E-2</v>
      </c>
      <c r="AK5" s="2">
        <v>0.9873333333333334</v>
      </c>
      <c r="AL5" s="2">
        <v>7.2999999999999995E-2</v>
      </c>
      <c r="AM5" s="2">
        <v>0.43766666666666665</v>
      </c>
      <c r="AN5" s="2">
        <v>0.17733333333333334</v>
      </c>
      <c r="AO5" s="2">
        <v>0.13766666666666666</v>
      </c>
      <c r="AP5" s="2">
        <v>1.4843333333333335</v>
      </c>
      <c r="AQ5" s="2">
        <v>0.24233333333333332</v>
      </c>
      <c r="AR5" s="2">
        <v>0.34433333333333332</v>
      </c>
      <c r="AS5" s="2">
        <v>0.11766666666666666</v>
      </c>
      <c r="AT5" s="2">
        <v>0.16</v>
      </c>
      <c r="AU5" s="2">
        <v>0.23166666666666666</v>
      </c>
      <c r="AV5" s="2">
        <v>6.533333333333334E-2</v>
      </c>
      <c r="AW5" s="2">
        <v>0.433</v>
      </c>
      <c r="AX5" s="2">
        <v>9.6333333333333326E-2</v>
      </c>
      <c r="AY5" s="2">
        <v>0.41533333333333333</v>
      </c>
      <c r="AZ5" s="2">
        <v>0.40500000000000003</v>
      </c>
      <c r="BA5" s="2">
        <v>0.10566666666666667</v>
      </c>
      <c r="BB5" s="2">
        <v>0.22700000000000001</v>
      </c>
      <c r="BC5" s="2">
        <v>0.13999999999999999</v>
      </c>
      <c r="BD5" s="2">
        <v>0.85833333333333339</v>
      </c>
      <c r="BE5" s="2">
        <v>0.22</v>
      </c>
      <c r="BF5" s="2">
        <v>0.14733333333333334</v>
      </c>
      <c r="BG5" s="2">
        <v>0.217</v>
      </c>
      <c r="BH5" s="2">
        <v>0.13966666666666666</v>
      </c>
      <c r="BI5" s="2">
        <v>0.24866666666666667</v>
      </c>
      <c r="BJ5" s="2">
        <v>1.3833333333333335</v>
      </c>
      <c r="BK5" s="2">
        <v>0.23733333333333331</v>
      </c>
      <c r="BL5" s="2">
        <v>0.28099999999999997</v>
      </c>
      <c r="BM5" s="2">
        <v>0.18166666666666667</v>
      </c>
      <c r="BN5" s="2">
        <v>0.22133333333333335</v>
      </c>
      <c r="BO5" s="2">
        <v>0.27866666666666667</v>
      </c>
      <c r="BP5" s="2">
        <v>0.64900000000000002</v>
      </c>
      <c r="BQ5" s="2">
        <v>2.3623333333333334</v>
      </c>
      <c r="BR5" s="2">
        <v>0.19866666666666666</v>
      </c>
      <c r="BS5" s="2">
        <v>0.34466666666666668</v>
      </c>
      <c r="BT5" s="2">
        <v>0.19466666666666665</v>
      </c>
      <c r="BU5" s="29">
        <v>0.20015999999999998</v>
      </c>
      <c r="BV5" s="29">
        <v>6.1055999999999999E-2</v>
      </c>
      <c r="BW5" s="29">
        <v>0.36489600000000005</v>
      </c>
      <c r="BX5" s="29">
        <v>8.9567999999999953E-2</v>
      </c>
      <c r="BY5" s="30">
        <v>6.1632000000000006E-2</v>
      </c>
    </row>
    <row r="6" spans="1:77" x14ac:dyDescent="0.35">
      <c r="A6" s="12" t="s">
        <v>4</v>
      </c>
      <c r="B6" s="3">
        <v>0.09</v>
      </c>
      <c r="C6" s="2">
        <v>2.093</v>
      </c>
      <c r="D6" s="2">
        <v>0.60233333333333339</v>
      </c>
      <c r="E6" s="2">
        <v>3.6999999999999998E-2</v>
      </c>
      <c r="F6" s="2">
        <v>1.0726666666666667</v>
      </c>
      <c r="G6" s="2">
        <v>0.19833333333333333</v>
      </c>
      <c r="H6" s="2">
        <v>6.6666666666666666E-2</v>
      </c>
      <c r="I6" s="2">
        <v>1.6893333333333331</v>
      </c>
      <c r="J6" s="2">
        <v>3.7313333333333336</v>
      </c>
      <c r="K6" s="2">
        <v>1.2756666666666667</v>
      </c>
      <c r="L6" s="2">
        <v>4.1666666666666664E-2</v>
      </c>
      <c r="M6" s="2">
        <v>3.7666666666666668E-2</v>
      </c>
      <c r="N6" s="2">
        <v>0.13566666666666666</v>
      </c>
      <c r="O6" s="2">
        <v>0.42966666666666664</v>
      </c>
      <c r="P6" s="2">
        <v>0.55799999999999994</v>
      </c>
      <c r="Q6" s="2">
        <v>0.53033333333333332</v>
      </c>
      <c r="R6" s="2">
        <v>0.124</v>
      </c>
      <c r="S6" s="2">
        <v>0.10366666666666667</v>
      </c>
      <c r="T6" s="2">
        <v>6.6666666666666666E-2</v>
      </c>
      <c r="U6" s="2">
        <v>0.67300000000000004</v>
      </c>
      <c r="V6" s="2">
        <v>4.1666666666666664E-2</v>
      </c>
      <c r="W6" s="2">
        <v>8.533333333333333E-2</v>
      </c>
      <c r="X6" s="2">
        <v>0.73566666666666658</v>
      </c>
      <c r="Y6" s="2">
        <v>8.5666666666666669E-2</v>
      </c>
      <c r="Z6" s="2">
        <v>0.11699999999999999</v>
      </c>
      <c r="AA6" s="2">
        <v>0.17666666666666667</v>
      </c>
      <c r="AB6" s="2">
        <v>0.29966666666666669</v>
      </c>
      <c r="AC6" s="2">
        <v>0.40166666666666667</v>
      </c>
      <c r="AD6" s="2">
        <v>0.29599999999999999</v>
      </c>
      <c r="AE6" s="2">
        <v>0.54866666666666664</v>
      </c>
      <c r="AF6" s="2">
        <v>0.41199999999999998</v>
      </c>
      <c r="AG6" s="2">
        <v>0.49033333333333334</v>
      </c>
      <c r="AH6" s="2">
        <v>0.18400000000000002</v>
      </c>
      <c r="AI6" s="2">
        <v>0.17100000000000001</v>
      </c>
      <c r="AJ6" s="2">
        <v>1.2493333333333334</v>
      </c>
      <c r="AK6" s="2">
        <v>0.18000000000000002</v>
      </c>
      <c r="AL6" s="2">
        <v>0.51466666666666672</v>
      </c>
      <c r="AM6" s="2">
        <v>0.61899999999999999</v>
      </c>
      <c r="AN6" s="2">
        <v>8.8000000000000009E-2</v>
      </c>
      <c r="AO6" s="2">
        <v>7.9666666666666663E-2</v>
      </c>
      <c r="AP6" s="2">
        <v>0.24833333333333332</v>
      </c>
      <c r="AQ6" s="2">
        <v>0.53066666666666673</v>
      </c>
      <c r="AR6" s="2">
        <v>0.90733333333333333</v>
      </c>
      <c r="AS6" s="2">
        <v>0.11</v>
      </c>
      <c r="AT6" s="2">
        <v>0.56300000000000006</v>
      </c>
      <c r="AU6" s="2">
        <v>2.8003333333333331</v>
      </c>
      <c r="AV6" s="2">
        <v>7.3666666666666672E-2</v>
      </c>
      <c r="AW6" s="2">
        <v>0.41933333333333334</v>
      </c>
      <c r="AX6" s="2">
        <v>4.8999999999999995E-2</v>
      </c>
      <c r="AY6" s="2">
        <v>0.23466666666666666</v>
      </c>
      <c r="AZ6" s="2">
        <v>0.114</v>
      </c>
      <c r="BA6" s="2">
        <v>4.0333333333333332E-2</v>
      </c>
      <c r="BB6" s="2">
        <v>0.26866666666666666</v>
      </c>
      <c r="BC6" s="2">
        <v>0.89433333333333331</v>
      </c>
      <c r="BD6" s="2">
        <v>0.37966666666666665</v>
      </c>
      <c r="BE6" s="2">
        <v>0.43133333333333335</v>
      </c>
      <c r="BF6" s="2">
        <v>0.35366666666666663</v>
      </c>
      <c r="BG6" s="2">
        <v>1.4233333333333331</v>
      </c>
      <c r="BH6" s="2">
        <v>7.0333333333333331E-2</v>
      </c>
      <c r="BI6" s="2">
        <v>9.4333333333333325E-2</v>
      </c>
      <c r="BJ6" s="2">
        <v>4.0203333333333333</v>
      </c>
      <c r="BK6" s="2">
        <v>0.222</v>
      </c>
      <c r="BL6" s="2">
        <v>0.88099999999999989</v>
      </c>
      <c r="BM6" s="2">
        <v>0.19499999999999998</v>
      </c>
      <c r="BN6" s="2">
        <v>0.33366666666666661</v>
      </c>
      <c r="BO6" s="2">
        <v>1.1716666666666666</v>
      </c>
      <c r="BP6" s="2">
        <v>0.19799999999999998</v>
      </c>
      <c r="BQ6" s="2">
        <v>0.34433333333333332</v>
      </c>
      <c r="BR6" s="2">
        <v>0.18466666666666667</v>
      </c>
      <c r="BS6" s="2">
        <v>0.7443333333333334</v>
      </c>
      <c r="BT6" s="2">
        <v>0.13533333333333333</v>
      </c>
      <c r="BU6" s="29">
        <v>0.39369600000000005</v>
      </c>
      <c r="BV6" s="29">
        <v>1.6084799999999997</v>
      </c>
      <c r="BW6" s="29">
        <v>1.017504</v>
      </c>
      <c r="BX6" s="29">
        <v>0.10137600000000004</v>
      </c>
      <c r="BY6" s="30">
        <v>5.7599999999999991E-2</v>
      </c>
    </row>
    <row r="7" spans="1:77" x14ac:dyDescent="0.35">
      <c r="A7" s="12" t="s">
        <v>5</v>
      </c>
      <c r="B7" s="3">
        <v>0.17399999999999999</v>
      </c>
      <c r="C7" s="2">
        <v>5.8333333333333334E-2</v>
      </c>
      <c r="D7" s="2">
        <v>4.0333333333333339E-2</v>
      </c>
      <c r="E7" s="2">
        <v>1.7866666666666666E-2</v>
      </c>
      <c r="F7" s="2">
        <v>5.0529999999999999</v>
      </c>
      <c r="G7" s="2">
        <v>0.26533333333333337</v>
      </c>
      <c r="H7" s="2">
        <v>6.4000000000000001E-2</v>
      </c>
      <c r="I7" s="2">
        <v>0.26833333333333337</v>
      </c>
      <c r="J7" s="2">
        <v>1.1303333333333334</v>
      </c>
      <c r="K7" s="2">
        <v>0.79633333333333323</v>
      </c>
      <c r="L7" s="2">
        <v>3.4666666666666665E-2</v>
      </c>
      <c r="M7" s="2">
        <v>25.706</v>
      </c>
      <c r="N7" s="2">
        <v>0.13966666666666666</v>
      </c>
      <c r="O7" s="2">
        <v>0.36333333333333334</v>
      </c>
      <c r="P7" s="2">
        <v>2.9966666666666666E-2</v>
      </c>
      <c r="Q7" s="2">
        <v>0.69233333333333336</v>
      </c>
      <c r="R7" s="2">
        <v>0.18433333333333335</v>
      </c>
      <c r="S7" s="2">
        <v>2.6499999999999999E-2</v>
      </c>
      <c r="T7" s="2">
        <v>0.11133333333333334</v>
      </c>
      <c r="U7" s="2">
        <v>3.7999999999999999E-2</v>
      </c>
      <c r="V7" s="2">
        <v>3.1966666666666664E-2</v>
      </c>
      <c r="W7" s="2">
        <v>0.60133333333333339</v>
      </c>
      <c r="X7" s="2">
        <v>0.38533333333333331</v>
      </c>
      <c r="Y7" s="2">
        <v>5.4666666666666669E-2</v>
      </c>
      <c r="Z7" s="2">
        <v>5.6333333333333339E-2</v>
      </c>
      <c r="AA7" s="2">
        <v>8.666666666666667E-2</v>
      </c>
      <c r="AB7" s="2">
        <v>8.7666666666666671E-2</v>
      </c>
      <c r="AC7" s="2">
        <v>0.14433333333333334</v>
      </c>
      <c r="AD7" s="2">
        <v>0.51400000000000001</v>
      </c>
      <c r="AE7" s="2">
        <v>1.6766666666666667</v>
      </c>
      <c r="AF7" s="2">
        <v>4.4000000000000004E-2</v>
      </c>
      <c r="AG7" s="2">
        <v>1.5049999999999999</v>
      </c>
      <c r="AH7" s="2">
        <v>8.3666666666666667E-2</v>
      </c>
      <c r="AI7" s="2">
        <v>0.12066666666666666</v>
      </c>
      <c r="AJ7" s="2">
        <v>6.2666666666666662E-2</v>
      </c>
      <c r="AK7" s="2">
        <v>0.82366666666666666</v>
      </c>
      <c r="AL7" s="2">
        <v>1.6153333333333333</v>
      </c>
      <c r="AM7" s="2">
        <v>3.1776666666666666</v>
      </c>
      <c r="AN7" s="2">
        <v>6.7333333333333342E-2</v>
      </c>
      <c r="AO7" s="2">
        <v>4.6999999999999993E-2</v>
      </c>
      <c r="AP7" s="2">
        <v>8.1666666666666665E-2</v>
      </c>
      <c r="AQ7" s="2">
        <v>0.11066666666666668</v>
      </c>
      <c r="AR7" s="2">
        <v>0.66166666666666674</v>
      </c>
      <c r="AS7" s="2">
        <v>0.60766666666666669</v>
      </c>
      <c r="AT7" s="2">
        <v>6.8666666666666668E-2</v>
      </c>
      <c r="AU7" s="2">
        <v>0.10533333333333333</v>
      </c>
      <c r="AV7" s="2">
        <v>1.9E-2</v>
      </c>
      <c r="AW7" s="2">
        <v>0.73899999999999999</v>
      </c>
      <c r="AX7" s="2">
        <v>1.9300000000000001E-2</v>
      </c>
      <c r="AY7" s="2">
        <v>1.4560000000000002</v>
      </c>
      <c r="AZ7" s="2">
        <v>0.61099999999999999</v>
      </c>
      <c r="BA7" s="2">
        <v>3.1666666666666669E-2</v>
      </c>
      <c r="BB7" s="2">
        <v>0.63166666666666671</v>
      </c>
      <c r="BC7" s="2">
        <v>0.33366666666666661</v>
      </c>
      <c r="BD7" s="2">
        <v>0.38833333333333336</v>
      </c>
      <c r="BE7" s="2">
        <v>0.16</v>
      </c>
      <c r="BF7" s="2">
        <v>7.5333333333333335E-2</v>
      </c>
      <c r="BG7" s="2">
        <v>0.3666666666666667</v>
      </c>
      <c r="BH7" s="2">
        <v>6.7000000000000004E-2</v>
      </c>
      <c r="BI7" s="2">
        <v>0.32533333333333331</v>
      </c>
      <c r="BJ7" s="2">
        <v>0.48733333333333334</v>
      </c>
      <c r="BK7" s="2">
        <v>7.6999999999999999E-2</v>
      </c>
      <c r="BL7" s="2">
        <v>0.13066666666666668</v>
      </c>
      <c r="BM7" s="2">
        <v>0.28299999999999997</v>
      </c>
      <c r="BN7" s="2">
        <v>9.5020000000000007</v>
      </c>
      <c r="BO7" s="2">
        <v>0.40100000000000002</v>
      </c>
      <c r="BP7" s="2">
        <v>0.16966666666666666</v>
      </c>
      <c r="BQ7" s="2">
        <v>0.315</v>
      </c>
      <c r="BR7" s="2">
        <v>7.166666666666667E-2</v>
      </c>
      <c r="BS7" s="2">
        <v>1.63</v>
      </c>
      <c r="BT7" s="2">
        <v>7.0666666666666669E-2</v>
      </c>
      <c r="BU7" s="29">
        <v>0.43228800000000001</v>
      </c>
      <c r="BV7" s="29">
        <v>3.2256E-2</v>
      </c>
      <c r="BW7" s="29">
        <v>0.17596799999999996</v>
      </c>
      <c r="BX7" s="29">
        <v>5.8751999999999999E-2</v>
      </c>
      <c r="BY7" s="30">
        <v>0.12873599999999993</v>
      </c>
    </row>
    <row r="8" spans="1:77" x14ac:dyDescent="0.35">
      <c r="A8" s="12" t="s">
        <v>6</v>
      </c>
      <c r="B8" s="3">
        <v>0.498</v>
      </c>
      <c r="C8" s="2">
        <v>3.8666666666666662E-2</v>
      </c>
      <c r="D8" s="2">
        <v>2.2766666666666633E-2</v>
      </c>
      <c r="E8" s="2">
        <v>1.0933333333333335E-2</v>
      </c>
      <c r="F8" s="2">
        <v>0.14699999999999999</v>
      </c>
      <c r="G8" s="2">
        <v>0.24733333333333332</v>
      </c>
      <c r="H8" s="2">
        <v>3.9333333333333331E-2</v>
      </c>
      <c r="I8" s="2">
        <v>8.9333333333333334E-2</v>
      </c>
      <c r="J8" s="2">
        <v>0.41699999999999998</v>
      </c>
      <c r="K8" s="2">
        <v>0.18600000000000003</v>
      </c>
      <c r="L8" s="2">
        <v>0.28299999999999997</v>
      </c>
      <c r="M8" s="2">
        <v>1.0410000000000001</v>
      </c>
      <c r="N8" s="2">
        <v>5.0999999999999997E-2</v>
      </c>
      <c r="O8" s="2">
        <v>5.3666666666666668E-2</v>
      </c>
      <c r="P8" s="2">
        <v>4.6999999999999993E-2</v>
      </c>
      <c r="Q8" s="2">
        <v>7.9000000000000001E-2</v>
      </c>
      <c r="R8" s="2">
        <v>3.9666666666666663E-2</v>
      </c>
      <c r="S8" s="2">
        <v>4.1666666666666664E-2</v>
      </c>
      <c r="T8" s="2">
        <v>0.128</v>
      </c>
      <c r="U8" s="2">
        <v>3.4666666666666665E-2</v>
      </c>
      <c r="V8" s="2">
        <v>1.8133333333333331E-2</v>
      </c>
      <c r="W8" s="2">
        <v>0.22933333333333331</v>
      </c>
      <c r="X8" s="2">
        <v>0.17633333333333334</v>
      </c>
      <c r="Y8" s="2">
        <v>7.2999999999999995E-2</v>
      </c>
      <c r="Z8" s="2">
        <v>3.1400000000000004E-2</v>
      </c>
      <c r="AA8" s="2">
        <v>5.8180000000000005</v>
      </c>
      <c r="AB8" s="2">
        <v>6.7466666666666661</v>
      </c>
      <c r="AC8" s="2">
        <v>8.3666666666666667E-2</v>
      </c>
      <c r="AD8" s="2">
        <v>0.18700000000000003</v>
      </c>
      <c r="AE8" s="2">
        <v>7.6999999999999999E-2</v>
      </c>
      <c r="AF8" s="2">
        <v>4.9333333333333333E-2</v>
      </c>
      <c r="AG8" s="2">
        <v>0.14133333333333334</v>
      </c>
      <c r="AH8" s="2">
        <v>5.6333333333333339E-2</v>
      </c>
      <c r="AI8" s="2">
        <v>2.4466666666666668E-2</v>
      </c>
      <c r="AJ8" s="2">
        <v>0.32400000000000001</v>
      </c>
      <c r="AK8" s="2">
        <v>1.0686666666666667</v>
      </c>
      <c r="AL8" s="2">
        <v>6.9666666666666668E-2</v>
      </c>
      <c r="AM8" s="2">
        <v>0.27366666666666667</v>
      </c>
      <c r="AN8" s="2">
        <v>0.23866666666666667</v>
      </c>
      <c r="AO8" s="2">
        <v>3.4999999999999996E-2</v>
      </c>
      <c r="AP8" s="2">
        <v>0.53433333333333333</v>
      </c>
      <c r="AQ8" s="2">
        <v>0.21666666666666667</v>
      </c>
      <c r="AR8" s="2">
        <v>1.8846666666666667</v>
      </c>
      <c r="AS8" s="2">
        <v>0.12566666666666668</v>
      </c>
      <c r="AT8" s="2">
        <v>0.52566666666666662</v>
      </c>
      <c r="AU8" s="2">
        <v>4.1333333333333333E-2</v>
      </c>
      <c r="AV8" s="2">
        <v>1.1233333333333333E-2</v>
      </c>
      <c r="AW8" s="2">
        <v>6.3E-2</v>
      </c>
      <c r="AX8" s="2">
        <v>1.0366666666666666E-2</v>
      </c>
      <c r="AY8" s="2">
        <v>0.3163333333333333</v>
      </c>
      <c r="AZ8" s="2">
        <v>0.109</v>
      </c>
      <c r="BA8" s="2">
        <v>0.24466666666666667</v>
      </c>
      <c r="BB8" s="2">
        <v>0.55466666666666664</v>
      </c>
      <c r="BC8" s="2">
        <v>1.0693333333333335</v>
      </c>
      <c r="BD8" s="2">
        <v>0.26566666666666666</v>
      </c>
      <c r="BE8" s="2">
        <v>0.18766666666666665</v>
      </c>
      <c r="BF8" s="2">
        <v>5.7999999999999996E-2</v>
      </c>
      <c r="BG8" s="2">
        <v>0.55366666666666664</v>
      </c>
      <c r="BH8" s="2">
        <v>0.14066666666666666</v>
      </c>
      <c r="BI8" s="2">
        <v>7.3333333333333334E-2</v>
      </c>
      <c r="BJ8" s="2">
        <v>41.152333333333331</v>
      </c>
      <c r="BK8" s="2">
        <v>4.8666666666666664E-2</v>
      </c>
      <c r="BL8" s="2">
        <v>0.13899999999999998</v>
      </c>
      <c r="BM8" s="2">
        <v>0.442</v>
      </c>
      <c r="BN8" s="2">
        <v>0.251</v>
      </c>
      <c r="BO8" s="2">
        <v>0.19099999999999998</v>
      </c>
      <c r="BP8" s="2">
        <v>6.3666666666666663E-2</v>
      </c>
      <c r="BQ8" s="2">
        <v>9.9333333333333329E-2</v>
      </c>
      <c r="BR8" s="2">
        <v>0.10433333333333333</v>
      </c>
      <c r="BS8" s="2">
        <v>0.24833333333333332</v>
      </c>
      <c r="BT8" s="2">
        <v>5.5333333333333339E-2</v>
      </c>
      <c r="BU8" s="29">
        <v>0.35510399999999998</v>
      </c>
      <c r="BV8" s="29">
        <v>2.1888000000000001E-2</v>
      </c>
      <c r="BW8" s="29">
        <v>8.3807999999999938E-2</v>
      </c>
      <c r="BX8" s="29">
        <v>4.9535999999999997E-2</v>
      </c>
      <c r="BY8" s="30">
        <v>4.0319999999999981E-2</v>
      </c>
    </row>
    <row r="9" spans="1:77" x14ac:dyDescent="0.35">
      <c r="A9" s="12" t="s">
        <v>7</v>
      </c>
      <c r="B9" s="3">
        <v>6.0333333333333336E-2</v>
      </c>
      <c r="C9" s="2">
        <v>2.9366666666666631E-2</v>
      </c>
      <c r="D9" s="2">
        <v>1.7266666666666635E-2</v>
      </c>
      <c r="E9" s="2">
        <v>0.41533333333333333</v>
      </c>
      <c r="F9" s="2">
        <v>5.8333333333333327E-2</v>
      </c>
      <c r="G9" s="2">
        <v>0.20266666666666666</v>
      </c>
      <c r="H9" s="2">
        <v>3.5666666666666666E-2</v>
      </c>
      <c r="I9" s="2">
        <v>6.1666666666666668E-2</v>
      </c>
      <c r="J9" s="2">
        <v>9.6999999999999989E-2</v>
      </c>
      <c r="K9" s="2">
        <v>0.127</v>
      </c>
      <c r="L9" s="2">
        <v>8.666666666666667E-2</v>
      </c>
      <c r="M9" s="2">
        <v>0.441</v>
      </c>
      <c r="N9" s="2">
        <v>3.7666666666666668E-2</v>
      </c>
      <c r="O9" s="2">
        <v>3.6333333333333336E-2</v>
      </c>
      <c r="P9" s="2">
        <v>0.35166666666666663</v>
      </c>
      <c r="Q9" s="2">
        <v>0.47433333333333333</v>
      </c>
      <c r="R9" s="2">
        <v>0.19799999999999998</v>
      </c>
      <c r="S9" s="2">
        <v>5.0333333333333334E-2</v>
      </c>
      <c r="T9" s="2">
        <v>2.1599999999999998E-2</v>
      </c>
      <c r="U9" s="2">
        <v>2.234</v>
      </c>
      <c r="V9" s="2">
        <v>6.7333333333333342E-2</v>
      </c>
      <c r="W9" s="2">
        <v>5.617</v>
      </c>
      <c r="X9" s="2">
        <v>0.94399999999999995</v>
      </c>
      <c r="Y9" s="2">
        <v>4.9666666666666665E-2</v>
      </c>
      <c r="Z9" s="2">
        <v>0.60299999999999998</v>
      </c>
      <c r="AA9" s="2">
        <v>0.26100000000000001</v>
      </c>
      <c r="AB9" s="2">
        <v>0.3086666666666667</v>
      </c>
      <c r="AC9" s="2">
        <v>7.6666666666666675E-2</v>
      </c>
      <c r="AD9" s="2">
        <v>5.1333333333333335E-2</v>
      </c>
      <c r="AE9" s="2">
        <v>0.18533333333333335</v>
      </c>
      <c r="AF9" s="2">
        <v>8.1773333333333333</v>
      </c>
      <c r="AG9" s="2">
        <v>9.5333333333333325E-2</v>
      </c>
      <c r="AH9" s="2">
        <v>4.0666666666666663E-2</v>
      </c>
      <c r="AI9" s="2">
        <v>3.6666666666666667E-2</v>
      </c>
      <c r="AJ9" s="2">
        <v>3.4333333333333334E-2</v>
      </c>
      <c r="AK9" s="2">
        <v>5.2666666666666667E-2</v>
      </c>
      <c r="AL9" s="2">
        <v>3.3333333333333333E-2</v>
      </c>
      <c r="AM9" s="2">
        <v>0.18100000000000002</v>
      </c>
      <c r="AN9" s="2">
        <v>8.3333333333333329E-2</v>
      </c>
      <c r="AO9" s="2">
        <v>3.1966666666666664E-2</v>
      </c>
      <c r="AP9" s="2">
        <v>0.14699999999999999</v>
      </c>
      <c r="AQ9" s="2">
        <v>3.5666666666666666E-2</v>
      </c>
      <c r="AR9" s="2">
        <v>0.27833333333333332</v>
      </c>
      <c r="AS9" s="2">
        <v>1.0603333333333333</v>
      </c>
      <c r="AT9" s="2">
        <v>4.8666666666666664E-2</v>
      </c>
      <c r="AU9" s="2">
        <v>3.5666666666666666E-2</v>
      </c>
      <c r="AV9" s="2">
        <v>0.85833333333333339</v>
      </c>
      <c r="AW9" s="2">
        <v>3.1966666666666664E-2</v>
      </c>
      <c r="AX9" s="2">
        <v>10.655666666666667</v>
      </c>
      <c r="AY9" s="2">
        <v>1.3456666666666666</v>
      </c>
      <c r="AZ9" s="2">
        <v>8.4000000000000005E-2</v>
      </c>
      <c r="BA9" s="2">
        <v>0.27233333333333332</v>
      </c>
      <c r="BB9" s="2">
        <v>3.2266666666666666E-2</v>
      </c>
      <c r="BC9" s="2">
        <v>0.42333333333333334</v>
      </c>
      <c r="BD9" s="2">
        <v>0.22333333333333336</v>
      </c>
      <c r="BE9" s="2">
        <v>0.12633333333333333</v>
      </c>
      <c r="BF9" s="2">
        <v>5.4333333333333338E-2</v>
      </c>
      <c r="BG9" s="2">
        <v>0.33466666666666667</v>
      </c>
      <c r="BH9" s="2">
        <v>3.3196666666666665</v>
      </c>
      <c r="BI9" s="2">
        <v>4.4333333333333336E-2</v>
      </c>
      <c r="BJ9" s="2">
        <v>0.71233333333333337</v>
      </c>
      <c r="BK9" s="2">
        <v>0.60866666666666669</v>
      </c>
      <c r="BL9" s="2">
        <v>7.7333333333333337E-2</v>
      </c>
      <c r="BM9" s="2">
        <v>9.7666666666666666E-2</v>
      </c>
      <c r="BN9" s="2">
        <v>0.17133333333333334</v>
      </c>
      <c r="BO9" s="2">
        <v>0.10866666666666668</v>
      </c>
      <c r="BP9" s="2">
        <v>3.0266666666666668</v>
      </c>
      <c r="BQ9" s="2">
        <v>0.14899999999999999</v>
      </c>
      <c r="BR9" s="2">
        <v>0.49466666666666664</v>
      </c>
      <c r="BS9" s="2">
        <v>0.11933333333333333</v>
      </c>
      <c r="BT9" s="2">
        <v>3.7151999999999998E-2</v>
      </c>
      <c r="BU9" s="29">
        <v>0.19958399999999996</v>
      </c>
      <c r="BV9" s="29">
        <v>0.99302399999999991</v>
      </c>
      <c r="BW9" s="29">
        <v>0.11404800000000001</v>
      </c>
      <c r="BX9" s="29">
        <v>3.4272000000000004E-2</v>
      </c>
      <c r="BY9" s="30">
        <v>3.3120000000000004E-2</v>
      </c>
    </row>
    <row r="10" spans="1:77" x14ac:dyDescent="0.35">
      <c r="A10" s="12" t="s">
        <v>8</v>
      </c>
      <c r="B10" s="3">
        <v>7.6333333333333322E-2</v>
      </c>
      <c r="C10" s="2">
        <v>0.26366666666666666</v>
      </c>
      <c r="D10" s="2">
        <v>1.5266666666666632E-2</v>
      </c>
      <c r="E10" s="2">
        <v>0.77133333333333332</v>
      </c>
      <c r="F10" s="2">
        <v>2.1533333333333333</v>
      </c>
      <c r="G10" s="2">
        <v>0.128</v>
      </c>
      <c r="H10" s="2">
        <v>0.96699999999999997</v>
      </c>
      <c r="I10" s="2">
        <v>0.10466666666666667</v>
      </c>
      <c r="J10" s="2">
        <v>2.7289999999999996</v>
      </c>
      <c r="K10" s="2">
        <v>0.11533333333333333</v>
      </c>
      <c r="L10" s="2">
        <v>4.3333333333333335E-2</v>
      </c>
      <c r="M10" s="2">
        <v>0.19866666666666666</v>
      </c>
      <c r="N10" s="2">
        <v>0.27633333333333332</v>
      </c>
      <c r="O10" s="2">
        <v>6.0333333333333329E-2</v>
      </c>
      <c r="P10" s="2">
        <v>20.379666666666669</v>
      </c>
      <c r="Q10" s="2">
        <v>4.6999999999999993E-2</v>
      </c>
      <c r="R10" s="2">
        <v>5.2999999999999999E-2</v>
      </c>
      <c r="S10" s="2">
        <v>1.5446666666666669</v>
      </c>
      <c r="T10" s="2">
        <v>1.5566666666666666E-2</v>
      </c>
      <c r="U10" s="2">
        <v>5.6000000000000001E-2</v>
      </c>
      <c r="V10" s="2">
        <v>3.8279999999999998</v>
      </c>
      <c r="W10" s="2">
        <v>2.4833333333333334</v>
      </c>
      <c r="X10" s="2">
        <v>0.12966666666666668</v>
      </c>
      <c r="Y10" s="2">
        <v>4.7666666666666663E-2</v>
      </c>
      <c r="Z10" s="2">
        <v>3.0443333333333329</v>
      </c>
      <c r="AA10" s="2">
        <v>0.20099999999999998</v>
      </c>
      <c r="AB10" s="2">
        <v>0.20933333333333334</v>
      </c>
      <c r="AC10" s="2">
        <v>9.3333333333333338E-2</v>
      </c>
      <c r="AD10" s="2">
        <v>0.23766666666666666</v>
      </c>
      <c r="AE10" s="2">
        <v>4.5333333333333337E-2</v>
      </c>
      <c r="AF10" s="2">
        <v>6.5000000000000002E-2</v>
      </c>
      <c r="AG10" s="2">
        <v>7.7333333333333337E-2</v>
      </c>
      <c r="AH10" s="2">
        <v>4.7666666666666663E-2</v>
      </c>
      <c r="AI10" s="2">
        <v>6.0666666666666667E-2</v>
      </c>
      <c r="AJ10" s="2">
        <v>0.13466666666666668</v>
      </c>
      <c r="AK10" s="2">
        <v>3.7333333333333336E-2</v>
      </c>
      <c r="AL10" s="2">
        <v>0.32066666666666666</v>
      </c>
      <c r="AM10" s="2">
        <v>0.21299999999999999</v>
      </c>
      <c r="AN10" s="2">
        <v>0.51100000000000001</v>
      </c>
      <c r="AO10" s="2">
        <v>1.2313333333333334</v>
      </c>
      <c r="AP10" s="2">
        <v>2.4263333333333335</v>
      </c>
      <c r="AQ10" s="2">
        <v>4.6523333333333339</v>
      </c>
      <c r="AR10" s="2">
        <v>0.16066666666666665</v>
      </c>
      <c r="AS10" s="2">
        <v>0.312</v>
      </c>
      <c r="AT10" s="2">
        <v>0.94433333333333336</v>
      </c>
      <c r="AU10" s="2">
        <v>0.20633333333333334</v>
      </c>
      <c r="AV10" s="2">
        <v>1.9886666666666668</v>
      </c>
      <c r="AW10" s="2">
        <v>0.13166666666666668</v>
      </c>
      <c r="AX10" s="2">
        <v>0.35366666666666663</v>
      </c>
      <c r="AY10" s="2">
        <v>0.16400000000000001</v>
      </c>
      <c r="AZ10" s="2">
        <v>6.3666666666666663E-2</v>
      </c>
      <c r="BA10" s="2">
        <v>0.92366666666666664</v>
      </c>
      <c r="BB10" s="2">
        <v>0.155</v>
      </c>
      <c r="BC10" s="2">
        <v>0.60133333333333339</v>
      </c>
      <c r="BD10" s="2">
        <v>0.46100000000000002</v>
      </c>
      <c r="BE10" s="2">
        <v>6.0333333333333329E-2</v>
      </c>
      <c r="BF10" s="2">
        <v>0.10266666666666667</v>
      </c>
      <c r="BG10" s="2">
        <v>0.98699999999999999</v>
      </c>
      <c r="BH10" s="2">
        <v>0.39700000000000002</v>
      </c>
      <c r="BI10" s="2">
        <v>0.24833333333333332</v>
      </c>
      <c r="BJ10" s="2">
        <v>0.82500000000000007</v>
      </c>
      <c r="BK10" s="2">
        <v>0.3183333333333333</v>
      </c>
      <c r="BL10" s="2">
        <v>3.295666666666667</v>
      </c>
      <c r="BM10" s="2">
        <v>0.47266666666666662</v>
      </c>
      <c r="BN10" s="2">
        <v>0.52933333333333332</v>
      </c>
      <c r="BO10" s="2">
        <v>7.7333333333333337E-2</v>
      </c>
      <c r="BP10" s="2">
        <v>0.86299999999999999</v>
      </c>
      <c r="BQ10" s="2">
        <v>0.28766666666666668</v>
      </c>
      <c r="BR10" s="2">
        <v>2.052</v>
      </c>
      <c r="BS10" s="2">
        <v>0.10066666666666667</v>
      </c>
      <c r="BT10" s="2">
        <v>0.22118399999999996</v>
      </c>
      <c r="BU10" s="29">
        <v>6.4800000000000024E-2</v>
      </c>
      <c r="BV10" s="29">
        <v>0.90662399999999999</v>
      </c>
      <c r="BW10" s="29">
        <v>5.7311999999999988E-2</v>
      </c>
      <c r="BX10" s="29">
        <v>0.65491199999999994</v>
      </c>
      <c r="BY10" s="30">
        <v>0.13075200000000003</v>
      </c>
    </row>
    <row r="11" spans="1:77" x14ac:dyDescent="0.35">
      <c r="A11" s="12" t="s">
        <v>9</v>
      </c>
      <c r="B11" s="3">
        <v>4.8000000000000001E-2</v>
      </c>
      <c r="C11" s="2">
        <v>2.3599999999999965E-2</v>
      </c>
      <c r="D11" s="2">
        <v>9.2000000000000016E-3</v>
      </c>
      <c r="E11" s="2">
        <v>1.9300000000000001E-2</v>
      </c>
      <c r="F11" s="2">
        <v>3.1869999999999998</v>
      </c>
      <c r="G11" s="2">
        <v>0.10533333333333333</v>
      </c>
      <c r="H11" s="2">
        <v>0.80799999999999994</v>
      </c>
      <c r="I11" s="2">
        <v>0.81866666666666665</v>
      </c>
      <c r="J11" s="2">
        <v>0.61699999999999999</v>
      </c>
      <c r="K11" s="2">
        <v>0.46066666666666661</v>
      </c>
      <c r="L11" s="2">
        <v>1.4373333333333334</v>
      </c>
      <c r="M11" s="2">
        <v>0.41166666666666668</v>
      </c>
      <c r="N11" s="2">
        <v>0.22966666666666666</v>
      </c>
      <c r="O11" s="2">
        <v>4.7333333333333331E-2</v>
      </c>
      <c r="P11" s="2">
        <v>0.84566666666666668</v>
      </c>
      <c r="Q11" s="2">
        <v>3.6666666666666667E-2</v>
      </c>
      <c r="R11" s="2">
        <v>5.7666666666666665E-2</v>
      </c>
      <c r="S11" s="2">
        <v>6.6666666666666666E-2</v>
      </c>
      <c r="T11" s="2">
        <v>2.6200000000000001E-2</v>
      </c>
      <c r="U11" s="2">
        <v>8.4060000000000006</v>
      </c>
      <c r="V11" s="2">
        <v>0.14299999999999999</v>
      </c>
      <c r="W11" s="2">
        <v>0.41033333333333338</v>
      </c>
      <c r="X11" s="2">
        <v>0.11966666666666666</v>
      </c>
      <c r="Y11" s="2">
        <v>1.4370000000000001</v>
      </c>
      <c r="Z11" s="2">
        <v>0.3106666666666667</v>
      </c>
      <c r="AA11" s="2">
        <v>0.18166666666666667</v>
      </c>
      <c r="AB11" s="2">
        <v>0.24866666666666667</v>
      </c>
      <c r="AC11" s="2">
        <v>0.96833333333333327</v>
      </c>
      <c r="AD11" s="2">
        <v>0.11566666666666665</v>
      </c>
      <c r="AE11" s="2">
        <v>4.5666666666666668E-2</v>
      </c>
      <c r="AF11" s="2">
        <v>5.1333333333333335E-2</v>
      </c>
      <c r="AG11" s="2">
        <v>2.1216666666666666</v>
      </c>
      <c r="AH11" s="2">
        <v>5.1333333333333335E-2</v>
      </c>
      <c r="AI11" s="2">
        <v>2.5166666666666666</v>
      </c>
      <c r="AJ11" s="2">
        <v>0.12566666666666668</v>
      </c>
      <c r="AK11" s="2">
        <v>7.2666666666666671E-2</v>
      </c>
      <c r="AL11" s="2">
        <v>2.0403333333333333</v>
      </c>
      <c r="AM11" s="2">
        <v>0.16633333333333333</v>
      </c>
      <c r="AN11" s="2">
        <v>0.157</v>
      </c>
      <c r="AO11" s="2">
        <v>7.0999999999999994E-2</v>
      </c>
      <c r="AP11" s="2">
        <v>0.435</v>
      </c>
      <c r="AQ11" s="2">
        <v>0.28066666666666668</v>
      </c>
      <c r="AR11" s="2">
        <v>0.223</v>
      </c>
      <c r="AS11" s="2">
        <v>0.113</v>
      </c>
      <c r="AT11" s="2">
        <v>0.16866666666666666</v>
      </c>
      <c r="AU11" s="2">
        <v>3.5999999999999997E-2</v>
      </c>
      <c r="AV11" s="2">
        <v>0.10066666666666667</v>
      </c>
      <c r="AW11" s="2">
        <v>6.6333333333333341E-2</v>
      </c>
      <c r="AX11" s="2">
        <v>0.11466666666666665</v>
      </c>
      <c r="AY11" s="2">
        <v>0.16833333333333333</v>
      </c>
      <c r="AZ11" s="2">
        <v>0.51566666666666661</v>
      </c>
      <c r="BA11" s="2">
        <v>2.7366666666666668E-2</v>
      </c>
      <c r="BB11" s="2">
        <v>7.0159999999999991</v>
      </c>
      <c r="BC11" s="2">
        <v>1.37</v>
      </c>
      <c r="BD11" s="2">
        <v>2.8839999999999999</v>
      </c>
      <c r="BE11" s="2">
        <v>4.4169999999999998</v>
      </c>
      <c r="BF11" s="2">
        <v>7.8E-2</v>
      </c>
      <c r="BG11" s="2">
        <v>0.23066666666666666</v>
      </c>
      <c r="BH11" s="2">
        <v>0.29733333333333334</v>
      </c>
      <c r="BI11" s="2">
        <v>0.10866666666666668</v>
      </c>
      <c r="BJ11" s="2">
        <v>0.61033333333333328</v>
      </c>
      <c r="BK11" s="2">
        <v>0.11</v>
      </c>
      <c r="BL11" s="2">
        <v>0.23166666666666666</v>
      </c>
      <c r="BM11" s="2">
        <v>0.41333333333333333</v>
      </c>
      <c r="BN11" s="2">
        <v>0.37999999999999995</v>
      </c>
      <c r="BO11" s="2">
        <v>0.69366666666666665</v>
      </c>
      <c r="BP11" s="2">
        <v>0.39633333333333337</v>
      </c>
      <c r="BQ11" s="2">
        <v>0.26400000000000001</v>
      </c>
      <c r="BR11" s="2">
        <v>3.5116666666666667</v>
      </c>
      <c r="BS11" s="2">
        <v>0.13999999999999999</v>
      </c>
      <c r="BT11" s="2">
        <v>6.0768000000000023E-2</v>
      </c>
      <c r="BU11" s="29">
        <v>0.25920000000000004</v>
      </c>
      <c r="BV11" s="29">
        <v>0.60249600000000003</v>
      </c>
      <c r="BW11" s="29">
        <v>9.3887999999999999E-2</v>
      </c>
      <c r="BX11" s="29">
        <v>5.3279999999999987E-2</v>
      </c>
      <c r="BY11" s="46">
        <v>6.7391999999999994E-2</v>
      </c>
    </row>
    <row r="12" spans="1:77" x14ac:dyDescent="0.35">
      <c r="A12" s="12" t="s">
        <v>10</v>
      </c>
      <c r="B12" s="3">
        <v>4.7333333333333338E-2</v>
      </c>
      <c r="C12" s="2">
        <v>1.8433333333333298E-2</v>
      </c>
      <c r="D12" s="2">
        <v>8.6333333333332984E-3</v>
      </c>
      <c r="E12" s="2">
        <v>1.47E-2</v>
      </c>
      <c r="F12" s="2">
        <v>0.111</v>
      </c>
      <c r="G12" s="2">
        <v>9.3000000000000013E-2</v>
      </c>
      <c r="H12" s="2">
        <v>3.4666666666666665E-2</v>
      </c>
      <c r="I12" s="2">
        <v>0.13699999999999998</v>
      </c>
      <c r="J12" s="2">
        <v>0.44900000000000001</v>
      </c>
      <c r="K12" s="2">
        <v>0.109</v>
      </c>
      <c r="L12" s="2">
        <v>8.900000000000001E-2</v>
      </c>
      <c r="M12" s="2">
        <v>0.24866666666666667</v>
      </c>
      <c r="N12" s="2">
        <v>9.5666666666666664E-2</v>
      </c>
      <c r="O12" s="2">
        <v>2.0433333333333335E-2</v>
      </c>
      <c r="P12" s="2">
        <v>0.32066666666666666</v>
      </c>
      <c r="Q12" s="2">
        <v>8.2000000000000003E-2</v>
      </c>
      <c r="R12" s="2">
        <v>3.7999999999999999E-2</v>
      </c>
      <c r="S12" s="2">
        <v>6.4666666666666664E-2</v>
      </c>
      <c r="T12" s="2">
        <v>1.8133333333333331E-2</v>
      </c>
      <c r="U12" s="2">
        <v>0.50800000000000001</v>
      </c>
      <c r="V12" s="2">
        <v>9.0666666666666673E-2</v>
      </c>
      <c r="W12" s="2">
        <v>0.27133333333333332</v>
      </c>
      <c r="X12" s="2">
        <v>0.13766666666666666</v>
      </c>
      <c r="Y12" s="2">
        <v>0.23966666666666667</v>
      </c>
      <c r="Z12" s="2">
        <v>0.24166666666666667</v>
      </c>
      <c r="AA12" s="2">
        <v>0.18899999999999997</v>
      </c>
      <c r="AB12" s="2">
        <v>0.33466666666666667</v>
      </c>
      <c r="AC12" s="2">
        <v>0.17233333333333334</v>
      </c>
      <c r="AD12" s="2">
        <v>1.1736666666666666</v>
      </c>
      <c r="AE12" s="2">
        <v>5.2666666666666667E-2</v>
      </c>
      <c r="AF12" s="2">
        <v>0.10833333333333334</v>
      </c>
      <c r="AG12" s="2">
        <v>0.20299999999999999</v>
      </c>
      <c r="AH12" s="2">
        <v>5.9333333333333328E-2</v>
      </c>
      <c r="AI12" s="2">
        <v>0.36833333333333335</v>
      </c>
      <c r="AJ12" s="2">
        <v>6.6333333333333341E-2</v>
      </c>
      <c r="AK12" s="2">
        <v>6.0333333333333329E-2</v>
      </c>
      <c r="AL12" s="2">
        <v>0.23366666666666666</v>
      </c>
      <c r="AM12" s="2">
        <v>0.18100000000000002</v>
      </c>
      <c r="AN12" s="2">
        <v>0.122</v>
      </c>
      <c r="AO12" s="2">
        <v>6.4666666666666664E-2</v>
      </c>
      <c r="AP12" s="2">
        <v>0.20699999999999999</v>
      </c>
      <c r="AQ12" s="2">
        <v>0.16666666666666666</v>
      </c>
      <c r="AR12" s="2">
        <v>0.24666666666666667</v>
      </c>
      <c r="AS12" s="2">
        <v>0.123</v>
      </c>
      <c r="AT12" s="2">
        <v>9.7666666666666666E-2</v>
      </c>
      <c r="AU12" s="2">
        <v>4.3666666666666666E-2</v>
      </c>
      <c r="AV12" s="2">
        <v>5.1333333333333335E-2</v>
      </c>
      <c r="AW12" s="2">
        <v>6.4666666666666664E-2</v>
      </c>
      <c r="AX12" s="2">
        <v>0.15633333333333332</v>
      </c>
      <c r="AY12" s="2">
        <v>0.17733333333333334</v>
      </c>
      <c r="AZ12" s="2">
        <v>0.36533333333333334</v>
      </c>
      <c r="BA12" s="2">
        <v>3.2533333333333338E-2</v>
      </c>
      <c r="BB12" s="2">
        <v>0.3193333333333333</v>
      </c>
      <c r="BC12" s="2">
        <v>0.23666666666666666</v>
      </c>
      <c r="BD12" s="2">
        <v>0.83733333333333337</v>
      </c>
      <c r="BE12" s="2">
        <v>0.23966666666666667</v>
      </c>
      <c r="BF12" s="2">
        <v>9.4333333333333325E-2</v>
      </c>
      <c r="BG12" s="2">
        <v>0.21533333333333335</v>
      </c>
      <c r="BH12" s="2">
        <v>0.20966666666666667</v>
      </c>
      <c r="BI12" s="2">
        <v>9.0666666666666673E-2</v>
      </c>
      <c r="BJ12" s="2">
        <v>0.59199999999999997</v>
      </c>
      <c r="BK12" s="2">
        <v>0.113</v>
      </c>
      <c r="BL12" s="2">
        <v>0.19566666666666666</v>
      </c>
      <c r="BM12" s="2">
        <v>0.26866666666666666</v>
      </c>
      <c r="BN12" s="2">
        <v>0.48766666666666669</v>
      </c>
      <c r="BO12" s="2">
        <v>0.25966666666666666</v>
      </c>
      <c r="BP12" s="2">
        <v>0.38866666666666666</v>
      </c>
      <c r="BQ12" s="2">
        <v>0.26266666666666666</v>
      </c>
      <c r="BR12" s="2">
        <v>0.68533333333333335</v>
      </c>
      <c r="BS12" s="2">
        <v>0.214</v>
      </c>
      <c r="BT12" s="2">
        <v>6.854399999999998E-2</v>
      </c>
      <c r="BU12" s="29">
        <v>4.8671999999999972E-2</v>
      </c>
      <c r="BV12" s="29">
        <v>0.18575999999999998</v>
      </c>
      <c r="BW12" s="29">
        <v>0.11347200000000003</v>
      </c>
      <c r="BX12" s="29">
        <v>4.723200000000001E-2</v>
      </c>
      <c r="BY12" s="30"/>
    </row>
    <row r="13" spans="1:77" ht="15" thickBot="1" x14ac:dyDescent="0.4">
      <c r="A13" s="13" t="s">
        <v>11</v>
      </c>
      <c r="B13" s="5">
        <v>4.9666666666666665E-2</v>
      </c>
      <c r="C13" s="4">
        <v>1.7866666666666666E-2</v>
      </c>
      <c r="D13" s="4">
        <v>8.9333333333333331E-3</v>
      </c>
      <c r="E13" s="4">
        <v>1.6400000000000001E-2</v>
      </c>
      <c r="F13" s="4">
        <v>0.107</v>
      </c>
      <c r="G13" s="4">
        <v>9.2000000000000012E-2</v>
      </c>
      <c r="H13" s="4">
        <v>3.8666666666666669E-2</v>
      </c>
      <c r="I13" s="4">
        <v>9.0000000000000011E-2</v>
      </c>
      <c r="J13" s="4">
        <v>0.32066666666666666</v>
      </c>
      <c r="K13" s="4">
        <v>0.13033333333333333</v>
      </c>
      <c r="L13" s="4">
        <v>0.17900000000000002</v>
      </c>
      <c r="M13" s="4">
        <v>0.29433333333333334</v>
      </c>
      <c r="N13" s="4">
        <v>9.0333333333333335E-2</v>
      </c>
      <c r="O13" s="4">
        <v>1.6133333333333333E-2</v>
      </c>
      <c r="P13" s="4">
        <v>0.29466666666666669</v>
      </c>
      <c r="Q13" s="4">
        <v>7.8666666666666663E-2</v>
      </c>
      <c r="R13" s="4">
        <v>3.6333333333333336E-2</v>
      </c>
      <c r="S13" s="4">
        <v>7.0666666666666669E-2</v>
      </c>
      <c r="T13" s="4">
        <v>1.5566666666666666E-2</v>
      </c>
      <c r="U13" s="4">
        <v>0.30499999999999999</v>
      </c>
      <c r="V13" s="4">
        <v>0.14699999999999999</v>
      </c>
      <c r="W13" s="4">
        <v>0.27599999999999997</v>
      </c>
      <c r="X13" s="4">
        <v>0.14399999999999999</v>
      </c>
      <c r="Y13" s="4">
        <v>0.19966666666666666</v>
      </c>
      <c r="Z13" s="4">
        <v>0.18766666666666665</v>
      </c>
      <c r="AA13" s="4">
        <v>0.24033333333333332</v>
      </c>
      <c r="AB13" s="4">
        <v>0.4383333333333333</v>
      </c>
      <c r="AC13" s="4">
        <v>0.107</v>
      </c>
      <c r="AD13" s="4">
        <v>0.153</v>
      </c>
      <c r="AE13" s="4">
        <v>6.0999999999999999E-2</v>
      </c>
      <c r="AF13" s="4">
        <v>0.19866666666666666</v>
      </c>
      <c r="AG13" s="4">
        <v>0.20366666666666666</v>
      </c>
      <c r="AH13" s="4">
        <v>7.8E-2</v>
      </c>
      <c r="AI13" s="4">
        <v>0.12733333333333333</v>
      </c>
      <c r="AJ13" s="4">
        <v>0.22566666666666668</v>
      </c>
      <c r="AK13" s="4">
        <v>5.3666666666666668E-2</v>
      </c>
      <c r="AL13" s="4">
        <v>0.29533333333333334</v>
      </c>
      <c r="AM13" s="4">
        <v>0.255</v>
      </c>
      <c r="AN13" s="4">
        <v>0.16200000000000001</v>
      </c>
      <c r="AO13" s="4">
        <v>7.0333333333333331E-2</v>
      </c>
      <c r="AP13" s="4">
        <v>0.19666666666666666</v>
      </c>
      <c r="AQ13" s="4">
        <v>0.45733333333333337</v>
      </c>
      <c r="AR13" s="4">
        <v>0.31666666666666665</v>
      </c>
      <c r="AS13" s="4">
        <v>0.13633333333333333</v>
      </c>
      <c r="AT13" s="4">
        <v>0.17600000000000002</v>
      </c>
      <c r="AU13" s="4">
        <v>3.4999999999999996E-2</v>
      </c>
      <c r="AV13" s="4">
        <v>9.0333333333333335E-2</v>
      </c>
      <c r="AW13" s="4">
        <v>8.3666666666666667E-2</v>
      </c>
      <c r="AX13" s="4">
        <v>0.16400000000000001</v>
      </c>
      <c r="AY13" s="4">
        <v>0.22033333333333335</v>
      </c>
      <c r="AZ13" s="4">
        <v>0.248</v>
      </c>
      <c r="BA13" s="4">
        <v>4.5000000000000005E-2</v>
      </c>
      <c r="BB13" s="4">
        <v>0.24033333333333332</v>
      </c>
      <c r="BC13" s="4">
        <v>0.23366666666666666</v>
      </c>
      <c r="BD13" s="4">
        <v>0.44600000000000001</v>
      </c>
      <c r="BE13" s="4">
        <v>0.30833333333333335</v>
      </c>
      <c r="BF13" s="4">
        <v>0.14433333333333334</v>
      </c>
      <c r="BG13" s="4">
        <v>0.32600000000000001</v>
      </c>
      <c r="BH13" s="4">
        <v>0.35333333333333333</v>
      </c>
      <c r="BI13" s="4">
        <v>0.18966666666666665</v>
      </c>
      <c r="BJ13" s="4">
        <v>0.71933333333333327</v>
      </c>
      <c r="BK13" s="4">
        <v>0.19566666666666666</v>
      </c>
      <c r="BL13" s="4">
        <v>0.255</v>
      </c>
      <c r="BM13" s="4">
        <v>0.29766666666666669</v>
      </c>
      <c r="BN13" s="4">
        <v>0.29533333333333334</v>
      </c>
      <c r="BO13" s="4">
        <v>0.23833333333333331</v>
      </c>
      <c r="BP13" s="4">
        <v>0.51100000000000001</v>
      </c>
      <c r="BQ13" s="4">
        <v>0.40566666666666668</v>
      </c>
      <c r="BR13" s="4">
        <v>0.62233333333333329</v>
      </c>
      <c r="BS13" s="4">
        <v>0.20733333333333334</v>
      </c>
      <c r="BT13" s="4">
        <v>0.15811199999999997</v>
      </c>
      <c r="BU13" s="35">
        <v>7.1999999999999967E-2</v>
      </c>
      <c r="BV13" s="35">
        <v>0.19929599999999995</v>
      </c>
      <c r="BW13" s="35">
        <v>0.15983999999999998</v>
      </c>
      <c r="BX13" s="35">
        <v>7.9199999999999951E-2</v>
      </c>
      <c r="BY1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>
      <selection activeCell="A20" sqref="A20"/>
    </sheetView>
  </sheetViews>
  <sheetFormatPr baseColWidth="10" defaultRowHeight="14.5" x14ac:dyDescent="0.35"/>
  <sheetData>
    <row r="1" spans="1:77" ht="15" thickBot="1" x14ac:dyDescent="0.4">
      <c r="A1" s="14" t="s">
        <v>20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1.4496666666666667</v>
      </c>
      <c r="D2" s="7">
        <v>1.554</v>
      </c>
      <c r="E2" s="7">
        <v>1.0713333333333332</v>
      </c>
      <c r="F2" s="7">
        <v>1.4516666666666669</v>
      </c>
      <c r="G2" s="7">
        <v>1.7713333333333334</v>
      </c>
      <c r="H2" s="7">
        <v>1.28</v>
      </c>
      <c r="I2" s="7">
        <v>0.76666666666666661</v>
      </c>
      <c r="J2" s="7">
        <v>1.3920000000000001</v>
      </c>
      <c r="K2" s="7">
        <v>13.179</v>
      </c>
      <c r="L2" s="7">
        <v>2.9339999999999997</v>
      </c>
      <c r="M2" s="7">
        <v>4.3856666666666664</v>
      </c>
      <c r="N2" s="7">
        <v>2.2236666666666669</v>
      </c>
      <c r="O2" s="7">
        <v>1.5919999999999999</v>
      </c>
      <c r="P2" s="7">
        <v>0.96799999999999997</v>
      </c>
      <c r="Q2" s="7">
        <v>4.4290000000000003</v>
      </c>
      <c r="R2" s="7">
        <v>1.2583333333333333</v>
      </c>
      <c r="S2" s="7">
        <v>1.143</v>
      </c>
      <c r="T2" s="7">
        <v>2.2730000000000001</v>
      </c>
      <c r="U2" s="7">
        <v>1.4433333333333334</v>
      </c>
      <c r="V2" s="7">
        <v>2.4553333333333334</v>
      </c>
      <c r="W2" s="7">
        <v>3.4356666666666666</v>
      </c>
      <c r="X2" s="7">
        <v>7.0799999999999992</v>
      </c>
      <c r="Y2" s="7">
        <v>2.6739999999999999</v>
      </c>
      <c r="Z2" s="7">
        <v>3.7833333333333332</v>
      </c>
      <c r="AA2" s="7">
        <v>5.1253333333333329</v>
      </c>
      <c r="AB2" s="7">
        <v>4.2069999999999999</v>
      </c>
      <c r="AC2" s="7">
        <v>10.552333333333333</v>
      </c>
      <c r="AD2" s="7">
        <v>2.4596666666666667</v>
      </c>
      <c r="AE2" s="7">
        <v>10.975</v>
      </c>
      <c r="AF2" s="7">
        <v>2.2843333333333331</v>
      </c>
      <c r="AG2" s="7">
        <v>6.448666666666667</v>
      </c>
      <c r="AH2" s="7">
        <v>2.3503333333333334</v>
      </c>
      <c r="AI2" s="7">
        <v>1.6673333333333333</v>
      </c>
      <c r="AJ2" s="7">
        <v>2.895</v>
      </c>
      <c r="AK2" s="7">
        <v>4.266</v>
      </c>
      <c r="AL2" s="7">
        <v>1.276</v>
      </c>
      <c r="AM2" s="7">
        <v>9.0043333333333333</v>
      </c>
      <c r="AN2" s="7">
        <v>6.7283333333333326</v>
      </c>
      <c r="AO2" s="7">
        <v>4.7503333333333329</v>
      </c>
      <c r="AP2" s="7">
        <v>0.97766666666666657</v>
      </c>
      <c r="AQ2" s="7">
        <v>6.1206666666666658</v>
      </c>
      <c r="AR2" s="7">
        <v>8.3843333333333323</v>
      </c>
      <c r="AS2" s="7">
        <v>4.1223333333333336</v>
      </c>
      <c r="AT2" s="7">
        <v>2.7129999999999996</v>
      </c>
      <c r="AU2" s="7">
        <v>0.8623333333333334</v>
      </c>
      <c r="AV2" s="7">
        <v>0.84166666666666667</v>
      </c>
      <c r="AW2" s="7">
        <v>0.95766666666666678</v>
      </c>
      <c r="AX2" s="7">
        <v>4.8343333333333334</v>
      </c>
      <c r="AY2" s="7">
        <v>1.1866666666666668</v>
      </c>
      <c r="AZ2" s="7">
        <v>1.9283333333333335</v>
      </c>
      <c r="BA2" s="7">
        <v>1.7673333333333332</v>
      </c>
      <c r="BB2" s="7">
        <v>1.0133333333333334</v>
      </c>
      <c r="BC2" s="7">
        <v>1.6823333333333332</v>
      </c>
      <c r="BD2" s="7">
        <v>3.5609999999999999</v>
      </c>
      <c r="BE2" s="7">
        <v>5.5529999999999999</v>
      </c>
      <c r="BF2" s="7">
        <v>3.5739999999999998</v>
      </c>
      <c r="BG2" s="7">
        <v>1.1519999999999999</v>
      </c>
      <c r="BH2" s="7">
        <v>2.4203333333333332</v>
      </c>
      <c r="BI2" s="7">
        <v>6.7220000000000004</v>
      </c>
      <c r="BJ2" s="7">
        <v>2.6046666666666667</v>
      </c>
      <c r="BK2" s="7">
        <v>6.7</v>
      </c>
      <c r="BL2" s="7">
        <v>1.3120000000000001</v>
      </c>
      <c r="BM2" s="7">
        <v>2.7970000000000002</v>
      </c>
      <c r="BN2" s="7">
        <v>4.6239999999999997</v>
      </c>
      <c r="BO2" s="7">
        <v>4.8743333333333334</v>
      </c>
      <c r="BP2" s="7">
        <v>2.1</v>
      </c>
      <c r="BQ2" s="7">
        <v>6.1176666666666675</v>
      </c>
      <c r="BR2" s="7">
        <v>8.7583333333333329</v>
      </c>
      <c r="BS2" s="7">
        <v>9.1549999999999994</v>
      </c>
      <c r="BT2" s="7">
        <v>1.1466666666666667</v>
      </c>
      <c r="BU2" s="31">
        <v>0.59529600000000005</v>
      </c>
      <c r="BV2" s="31">
        <v>0.76751999999999998</v>
      </c>
      <c r="BW2" s="31">
        <v>3.4781760000000004</v>
      </c>
      <c r="BX2" s="31">
        <v>1.0238400000000001</v>
      </c>
      <c r="BY2" s="32">
        <v>1.940256</v>
      </c>
    </row>
    <row r="3" spans="1:77" x14ac:dyDescent="0.35">
      <c r="A3" s="12" t="s">
        <v>1</v>
      </c>
      <c r="B3" s="3">
        <v>2.4553333333333334</v>
      </c>
      <c r="C3" s="2">
        <v>1.0933333333333333</v>
      </c>
      <c r="D3" s="2">
        <v>1.4610000000000001</v>
      </c>
      <c r="E3" s="2">
        <v>0.89266666666666661</v>
      </c>
      <c r="F3" s="2">
        <v>1.0290000000000001</v>
      </c>
      <c r="G3" s="2">
        <v>1.4560000000000002</v>
      </c>
      <c r="H3" s="2">
        <v>0.80966666666666665</v>
      </c>
      <c r="I3" s="2">
        <v>0.437</v>
      </c>
      <c r="J3" s="2">
        <v>1.3206666666666667</v>
      </c>
      <c r="K3" s="2">
        <v>9.3339999999999996</v>
      </c>
      <c r="L3" s="2">
        <v>3.5239999999999996</v>
      </c>
      <c r="M3" s="2">
        <v>4.6000000000000005</v>
      </c>
      <c r="N3" s="2">
        <v>1.6606666666666667</v>
      </c>
      <c r="O3" s="2">
        <v>1.2849999999999999</v>
      </c>
      <c r="P3" s="2">
        <v>0.97833333333333339</v>
      </c>
      <c r="Q3" s="2">
        <v>2.4319999999999999</v>
      </c>
      <c r="R3" s="2">
        <v>1.1646666666666667</v>
      </c>
      <c r="S3" s="2">
        <v>1.1180000000000001</v>
      </c>
      <c r="T3" s="2">
        <v>1.9023333333333332</v>
      </c>
      <c r="U3" s="2">
        <v>1.5936666666666666</v>
      </c>
      <c r="V3" s="2">
        <v>1.9450000000000001</v>
      </c>
      <c r="W3" s="2">
        <v>2.1616666666666666</v>
      </c>
      <c r="X3" s="2">
        <v>5.1083333333333334</v>
      </c>
      <c r="Y3" s="2">
        <v>2.4306666666666668</v>
      </c>
      <c r="Z3" s="2">
        <v>2.7370000000000001</v>
      </c>
      <c r="AA3" s="2">
        <v>4.1900000000000004</v>
      </c>
      <c r="AB3" s="2">
        <v>2.8089999999999997</v>
      </c>
      <c r="AC3" s="2">
        <v>9.1353333333333335</v>
      </c>
      <c r="AD3" s="2">
        <v>1.9033333333333333</v>
      </c>
      <c r="AE3" s="2">
        <v>6.5569999999999995</v>
      </c>
      <c r="AF3" s="2">
        <v>1.1626666666666667</v>
      </c>
      <c r="AG3" s="2">
        <v>3.4406666666666665</v>
      </c>
      <c r="AH3" s="2">
        <v>2.3439999999999999</v>
      </c>
      <c r="AI3" s="2">
        <v>2.9513333333333329</v>
      </c>
      <c r="AJ3" s="2">
        <v>2.4466666666666668</v>
      </c>
      <c r="AK3" s="2">
        <v>2.9266666666666663</v>
      </c>
      <c r="AL3" s="2">
        <v>0.90833333333333333</v>
      </c>
      <c r="AM3" s="2">
        <v>8.4526666666666674</v>
      </c>
      <c r="AN3" s="2">
        <v>4.6313333333333331</v>
      </c>
      <c r="AO3" s="2">
        <v>3.097</v>
      </c>
      <c r="AP3" s="2">
        <v>0.97533333333333339</v>
      </c>
      <c r="AQ3" s="2">
        <v>4.1996666666666664</v>
      </c>
      <c r="AR3" s="2">
        <v>9.7443333333333335</v>
      </c>
      <c r="AS3" s="2">
        <v>3.1806666666666668</v>
      </c>
      <c r="AT3" s="2">
        <v>1.782</v>
      </c>
      <c r="AU3" s="2">
        <v>0.78666666666666663</v>
      </c>
      <c r="AV3" s="2">
        <v>0.42633333333333329</v>
      </c>
      <c r="AW3" s="2">
        <v>1.0416666666666667</v>
      </c>
      <c r="AX3" s="2">
        <v>2.415</v>
      </c>
      <c r="AY3" s="2">
        <v>0.81066666666666665</v>
      </c>
      <c r="AZ3" s="2">
        <v>1.2686666666666666</v>
      </c>
      <c r="BA3" s="2">
        <v>1.5406666666666666</v>
      </c>
      <c r="BB3" s="2">
        <v>0.64766666666666672</v>
      </c>
      <c r="BC3" s="2">
        <v>1.6079999999999999</v>
      </c>
      <c r="BD3" s="2">
        <v>2.9939999999999998</v>
      </c>
      <c r="BE3" s="2">
        <v>4.5223333333333331</v>
      </c>
      <c r="BF3" s="2">
        <v>2.0016666666666665</v>
      </c>
      <c r="BG3" s="2">
        <v>0.90466666666666662</v>
      </c>
      <c r="BH3" s="2">
        <v>1.6219999999999999</v>
      </c>
      <c r="BI3" s="2">
        <v>3.0230000000000001</v>
      </c>
      <c r="BJ3" s="2">
        <v>3.3893333333333331</v>
      </c>
      <c r="BK3" s="2">
        <v>6.2013333333333334</v>
      </c>
      <c r="BL3" s="2">
        <v>1.0069999999999999</v>
      </c>
      <c r="BM3" s="2">
        <v>1.4656666666666667</v>
      </c>
      <c r="BN3" s="2">
        <v>2.6880000000000002</v>
      </c>
      <c r="BO3" s="2">
        <v>2.7446666666666668</v>
      </c>
      <c r="BP3" s="2">
        <v>0.98433333333333328</v>
      </c>
      <c r="BQ3" s="2">
        <v>2.4946666666666668</v>
      </c>
      <c r="BR3" s="2">
        <v>5.9586666666666668</v>
      </c>
      <c r="BS3" s="2">
        <v>7.1253333333333337</v>
      </c>
      <c r="BT3" s="2">
        <v>0.82933333333333337</v>
      </c>
      <c r="BU3" s="29">
        <v>0.70444799999999996</v>
      </c>
      <c r="BV3" s="29">
        <v>0.47664000000000012</v>
      </c>
      <c r="BW3" s="29">
        <v>2.325888</v>
      </c>
      <c r="BX3" s="29">
        <v>0.8354879999999999</v>
      </c>
      <c r="BY3" s="30">
        <v>0.86284800000000017</v>
      </c>
    </row>
    <row r="4" spans="1:77" x14ac:dyDescent="0.35">
      <c r="A4" s="12" t="s">
        <v>2</v>
      </c>
      <c r="B4" s="3">
        <v>1.6596666666666668</v>
      </c>
      <c r="C4" s="2">
        <v>1.35</v>
      </c>
      <c r="D4" s="2">
        <v>0.98099999999999998</v>
      </c>
      <c r="E4" s="2">
        <v>0.8650000000000001</v>
      </c>
      <c r="F4" s="2">
        <v>1.0103333333333333</v>
      </c>
      <c r="G4" s="2">
        <v>1.3176666666666665</v>
      </c>
      <c r="H4" s="2">
        <v>0.64400000000000002</v>
      </c>
      <c r="I4" s="2">
        <v>0.55266666666666664</v>
      </c>
      <c r="J4" s="2">
        <v>1.6020000000000001</v>
      </c>
      <c r="K4" s="2">
        <v>6.5906666666666665</v>
      </c>
      <c r="L4" s="2">
        <v>2.629</v>
      </c>
      <c r="M4" s="2">
        <v>1.7663333333333335</v>
      </c>
      <c r="N4" s="2">
        <v>1.4690000000000001</v>
      </c>
      <c r="O4" s="2">
        <v>0.89200000000000002</v>
      </c>
      <c r="P4" s="2">
        <v>1.0626666666666666</v>
      </c>
      <c r="Q4" s="2">
        <v>2.0733333333333333</v>
      </c>
      <c r="R4" s="2">
        <v>1.194</v>
      </c>
      <c r="S4" s="2">
        <v>0.93800000000000006</v>
      </c>
      <c r="T4" s="2">
        <v>1.9356666666666669</v>
      </c>
      <c r="U4" s="2">
        <v>1.45</v>
      </c>
      <c r="V4" s="2">
        <v>2.1123333333333334</v>
      </c>
      <c r="W4" s="2">
        <v>2.13</v>
      </c>
      <c r="X4" s="2">
        <v>2.7589999999999999</v>
      </c>
      <c r="Y4" s="2">
        <v>2.6956666666666664</v>
      </c>
      <c r="Z4" s="2">
        <v>2.6943333333333332</v>
      </c>
      <c r="AA4" s="2">
        <v>2.9603333333333333</v>
      </c>
      <c r="AB4" s="2">
        <v>2.7276666666666665</v>
      </c>
      <c r="AC4" s="2">
        <v>6.1080000000000005</v>
      </c>
      <c r="AD4" s="2">
        <v>1.2796666666666667</v>
      </c>
      <c r="AE4" s="2">
        <v>7.3073333333333332</v>
      </c>
      <c r="AF4" s="2">
        <v>0.97533333333333339</v>
      </c>
      <c r="AG4" s="2">
        <v>3.5579999999999998</v>
      </c>
      <c r="AH4" s="2">
        <v>2.3473333333333333</v>
      </c>
      <c r="AI4" s="2">
        <v>5.0346666666666664</v>
      </c>
      <c r="AJ4" s="2">
        <v>0.97433333333333338</v>
      </c>
      <c r="AK4" s="2">
        <v>1.194</v>
      </c>
      <c r="AL4" s="2">
        <v>0.84599999999999997</v>
      </c>
      <c r="AM4" s="2">
        <v>8.0163333333333338</v>
      </c>
      <c r="AN4" s="2">
        <v>2.895</v>
      </c>
      <c r="AO4" s="2">
        <v>2.1673333333333331</v>
      </c>
      <c r="AP4" s="2">
        <v>1.1843333333333332</v>
      </c>
      <c r="AQ4" s="2">
        <v>2.7306666666666666</v>
      </c>
      <c r="AR4" s="2">
        <v>8.8393333333333342</v>
      </c>
      <c r="AS4" s="2">
        <v>2.4380000000000002</v>
      </c>
      <c r="AT4" s="2">
        <v>3.6320000000000001</v>
      </c>
      <c r="AU4" s="2">
        <v>1.2593333333333334</v>
      </c>
      <c r="AV4" s="2">
        <v>0.26566666666666666</v>
      </c>
      <c r="AW4" s="2">
        <v>5.8356666666666674</v>
      </c>
      <c r="AX4" s="2">
        <v>0.89466666666666672</v>
      </c>
      <c r="AY4" s="2">
        <v>0.84433333333333327</v>
      </c>
      <c r="AZ4" s="2">
        <v>0.56166666666666665</v>
      </c>
      <c r="BA4" s="2">
        <v>1.006</v>
      </c>
      <c r="BB4" s="2">
        <v>0.56266666666666665</v>
      </c>
      <c r="BC4" s="2">
        <v>1.3676666666666666</v>
      </c>
      <c r="BD4" s="2">
        <v>7.6486666666666672</v>
      </c>
      <c r="BE4" s="2">
        <v>4.9110000000000005</v>
      </c>
      <c r="BF4" s="2">
        <v>1.4269999999999998</v>
      </c>
      <c r="BG4" s="2">
        <v>0.94799999999999995</v>
      </c>
      <c r="BH4" s="2">
        <v>0.68466666666666665</v>
      </c>
      <c r="BI4" s="2">
        <v>2.2656666666666667</v>
      </c>
      <c r="BJ4" s="2">
        <v>1.25</v>
      </c>
      <c r="BK4" s="2">
        <v>4.4119999999999999</v>
      </c>
      <c r="BL4" s="2">
        <v>1.2150000000000001</v>
      </c>
      <c r="BM4" s="2">
        <v>0.86066666666666658</v>
      </c>
      <c r="BN4" s="2">
        <v>0.83599999999999997</v>
      </c>
      <c r="BO4" s="2">
        <v>2.1096666666666666</v>
      </c>
      <c r="BP4" s="2">
        <v>3.0963333333333334</v>
      </c>
      <c r="BQ4" s="2">
        <v>2.3876666666666666</v>
      </c>
      <c r="BR4" s="2">
        <v>3.7113333333333336</v>
      </c>
      <c r="BS4" s="2">
        <v>4.8079999999999998</v>
      </c>
      <c r="BT4" s="2">
        <v>0.94233333333333336</v>
      </c>
      <c r="BU4" s="29">
        <v>0.64252799999999999</v>
      </c>
      <c r="BV4" s="29">
        <v>0.22118399999999999</v>
      </c>
      <c r="BW4" s="29">
        <v>0.98323199999999999</v>
      </c>
      <c r="BX4" s="29">
        <v>0.6710400000000003</v>
      </c>
      <c r="BY4" s="30">
        <v>0.60364799999999996</v>
      </c>
    </row>
    <row r="5" spans="1:77" x14ac:dyDescent="0.35">
      <c r="A5" s="12" t="s">
        <v>3</v>
      </c>
      <c r="B5" s="3">
        <v>1.5226666666666668</v>
      </c>
      <c r="C5" s="2">
        <v>1.0096666666666667</v>
      </c>
      <c r="D5" s="2">
        <v>1.4823333333333333</v>
      </c>
      <c r="E5" s="2">
        <v>0.51300000000000001</v>
      </c>
      <c r="F5" s="2">
        <v>2.0496666666666665</v>
      </c>
      <c r="G5" s="2">
        <v>1.0036666666666667</v>
      </c>
      <c r="H5" s="2">
        <v>0.60466666666666669</v>
      </c>
      <c r="I5" s="2">
        <v>16.559333333333331</v>
      </c>
      <c r="J5" s="2">
        <v>0.8666666666666667</v>
      </c>
      <c r="K5" s="2">
        <v>4.1453333333333333</v>
      </c>
      <c r="L5" s="2">
        <v>2.4490000000000003</v>
      </c>
      <c r="M5" s="2">
        <v>1.3316666666666668</v>
      </c>
      <c r="N5" s="2">
        <v>2.5736666666666665</v>
      </c>
      <c r="O5" s="2">
        <v>2.1229999999999998</v>
      </c>
      <c r="P5" s="2">
        <v>0.94600000000000006</v>
      </c>
      <c r="Q5" s="2">
        <v>1.8586666666666665</v>
      </c>
      <c r="R5" s="2">
        <v>3.3209999999999997</v>
      </c>
      <c r="S5" s="2">
        <v>1.3559999999999999</v>
      </c>
      <c r="T5" s="2">
        <v>1.2243333333333333</v>
      </c>
      <c r="U5" s="2">
        <v>2.1773333333333333</v>
      </c>
      <c r="V5" s="2">
        <v>1.579</v>
      </c>
      <c r="W5" s="2">
        <v>2.0593333333333335</v>
      </c>
      <c r="X5" s="2">
        <v>2.9043333333333332</v>
      </c>
      <c r="Y5" s="2">
        <v>2.1623333333333332</v>
      </c>
      <c r="Z5" s="2">
        <v>2.2583333333333333</v>
      </c>
      <c r="AA5" s="2">
        <v>3.4983333333333331</v>
      </c>
      <c r="AB5" s="2">
        <v>4.048</v>
      </c>
      <c r="AC5" s="2">
        <v>8.8583333333333325</v>
      </c>
      <c r="AD5" s="2">
        <v>1.1540000000000001</v>
      </c>
      <c r="AE5" s="2">
        <v>6.0173333333333332</v>
      </c>
      <c r="AF5" s="2">
        <v>0.96733333333333338</v>
      </c>
      <c r="AG5" s="2">
        <v>13.225999999999999</v>
      </c>
      <c r="AH5" s="2">
        <v>1.373</v>
      </c>
      <c r="AI5" s="2">
        <v>1.3126666666666666</v>
      </c>
      <c r="AJ5" s="2">
        <v>0.82433333333333325</v>
      </c>
      <c r="AK5" s="2">
        <v>2.1183333333333336</v>
      </c>
      <c r="AL5" s="2">
        <v>0.73499999999999999</v>
      </c>
      <c r="AM5" s="2">
        <v>6.1373333333333333</v>
      </c>
      <c r="AN5" s="2">
        <v>1.5570000000000002</v>
      </c>
      <c r="AO5" s="2">
        <v>1.6830000000000001</v>
      </c>
      <c r="AP5" s="2">
        <v>7.1536666666666662</v>
      </c>
      <c r="AQ5" s="2">
        <v>1.5873333333333333</v>
      </c>
      <c r="AR5" s="2">
        <v>7.0696666666666665</v>
      </c>
      <c r="AS5" s="2">
        <v>1.6539999999999999</v>
      </c>
      <c r="AT5" s="2">
        <v>1.7896666666666665</v>
      </c>
      <c r="AU5" s="2">
        <v>0.7363333333333334</v>
      </c>
      <c r="AV5" s="2">
        <v>0.23266666666666666</v>
      </c>
      <c r="AW5" s="2">
        <v>2.0569999999999999</v>
      </c>
      <c r="AX5" s="2">
        <v>0.42899999999999999</v>
      </c>
      <c r="AY5" s="2">
        <v>1.0416666666666667</v>
      </c>
      <c r="AZ5" s="2">
        <v>0.52600000000000002</v>
      </c>
      <c r="BA5" s="2">
        <v>0.85733333333333339</v>
      </c>
      <c r="BB5" s="2">
        <v>0.749</v>
      </c>
      <c r="BC5" s="2">
        <v>1.4996666666666665</v>
      </c>
      <c r="BD5" s="2">
        <v>13.927666666666667</v>
      </c>
      <c r="BE5" s="2">
        <v>2.169</v>
      </c>
      <c r="BF5" s="2">
        <v>0.505</v>
      </c>
      <c r="BG5" s="2">
        <v>2.0476666666666667</v>
      </c>
      <c r="BH5" s="2">
        <v>0.51433333333333331</v>
      </c>
      <c r="BI5" s="2">
        <v>0.86199999999999999</v>
      </c>
      <c r="BJ5" s="2">
        <v>6.8929999999999998</v>
      </c>
      <c r="BK5" s="2">
        <v>3.0046666666666666</v>
      </c>
      <c r="BL5" s="2">
        <v>1.5763333333333334</v>
      </c>
      <c r="BM5" s="2">
        <v>0.6263333333333333</v>
      </c>
      <c r="BN5" s="2">
        <v>0.91</v>
      </c>
      <c r="BO5" s="2">
        <v>6.7376666666666667</v>
      </c>
      <c r="BP5" s="2">
        <v>1.8433333333333335</v>
      </c>
      <c r="BQ5" s="2">
        <v>6.2846666666666664</v>
      </c>
      <c r="BR5" s="2">
        <v>1.3796666666666668</v>
      </c>
      <c r="BS5" s="2">
        <v>2.8936666666666664</v>
      </c>
      <c r="BT5" s="2">
        <v>0.71533333333333327</v>
      </c>
      <c r="BU5" s="29">
        <v>0.54345599999999994</v>
      </c>
      <c r="BV5" s="29">
        <v>0.16070399999999996</v>
      </c>
      <c r="BW5" s="29">
        <v>0.952704</v>
      </c>
      <c r="BX5" s="29">
        <v>0.42249600000000004</v>
      </c>
      <c r="BY5" s="30">
        <v>0.83894400000000013</v>
      </c>
    </row>
    <row r="6" spans="1:77" x14ac:dyDescent="0.35">
      <c r="A6" s="12" t="s">
        <v>4</v>
      </c>
      <c r="B6" s="3">
        <v>2.2626666666666666</v>
      </c>
      <c r="C6" s="2">
        <v>6.242</v>
      </c>
      <c r="D6" s="2">
        <v>1.702</v>
      </c>
      <c r="E6" s="2">
        <v>0.35400000000000004</v>
      </c>
      <c r="F6" s="2">
        <v>4.5910000000000002</v>
      </c>
      <c r="G6" s="2">
        <v>1.7733333333333334</v>
      </c>
      <c r="H6" s="2">
        <v>0.44166666666666665</v>
      </c>
      <c r="I6" s="2">
        <v>26.932000000000002</v>
      </c>
      <c r="J6" s="2">
        <v>6.2459999999999996</v>
      </c>
      <c r="K6" s="2">
        <v>3.7456666666666667</v>
      </c>
      <c r="L6" s="2">
        <v>1.458</v>
      </c>
      <c r="M6" s="2">
        <v>1.33</v>
      </c>
      <c r="N6" s="2">
        <v>1.7030000000000001</v>
      </c>
      <c r="O6" s="2">
        <v>1.8866666666666667</v>
      </c>
      <c r="P6" s="2">
        <v>1.6846666666666668</v>
      </c>
      <c r="Q6" s="2">
        <v>1.9873333333333332</v>
      </c>
      <c r="R6" s="2">
        <v>1.9973333333333334</v>
      </c>
      <c r="S6" s="2">
        <v>0.91</v>
      </c>
      <c r="T6" s="2">
        <v>2.3163333333333331</v>
      </c>
      <c r="U6" s="2">
        <v>2.7213333333333334</v>
      </c>
      <c r="V6" s="2">
        <v>1.4493333333333334</v>
      </c>
      <c r="W6" s="2">
        <v>1.7303333333333333</v>
      </c>
      <c r="X6" s="2">
        <v>2.76</v>
      </c>
      <c r="Y6" s="2">
        <v>1.7556666666666667</v>
      </c>
      <c r="Z6" s="2">
        <v>2.2543333333333333</v>
      </c>
      <c r="AA6" s="2">
        <v>3.6493333333333333</v>
      </c>
      <c r="AB6" s="2">
        <v>5.6993333333333327</v>
      </c>
      <c r="AC6" s="2">
        <v>14.711</v>
      </c>
      <c r="AD6" s="2">
        <v>1.1526666666666667</v>
      </c>
      <c r="AE6" s="2">
        <v>4.2073333333333336</v>
      </c>
      <c r="AF6" s="2">
        <v>2.2456666666666667</v>
      </c>
      <c r="AG6" s="2">
        <v>22.51</v>
      </c>
      <c r="AH6" s="2">
        <v>1.6493333333333335</v>
      </c>
      <c r="AI6" s="2">
        <v>0.88833333333333331</v>
      </c>
      <c r="AJ6" s="2">
        <v>6.4703333333333335</v>
      </c>
      <c r="AK6" s="2">
        <v>3.5003333333333333</v>
      </c>
      <c r="AL6" s="2">
        <v>2.2263333333333333</v>
      </c>
      <c r="AM6" s="2">
        <v>11.098666666666666</v>
      </c>
      <c r="AN6" s="2">
        <v>1.4029999999999998</v>
      </c>
      <c r="AO6" s="2">
        <v>4.05</v>
      </c>
      <c r="AP6" s="2">
        <v>5.1343333333333332</v>
      </c>
      <c r="AQ6" s="2">
        <v>1.196</v>
      </c>
      <c r="AR6" s="2">
        <v>13.300666666666666</v>
      </c>
      <c r="AS6" s="2">
        <v>1.5660000000000001</v>
      </c>
      <c r="AT6" s="2">
        <v>2.0596666666666668</v>
      </c>
      <c r="AU6" s="2">
        <v>2.15</v>
      </c>
      <c r="AV6" s="2">
        <v>0.13166666666666668</v>
      </c>
      <c r="AW6" s="2">
        <v>1.9726666666666668</v>
      </c>
      <c r="AX6" s="2">
        <v>0.14466666666666667</v>
      </c>
      <c r="AY6" s="2">
        <v>2.0116666666666667</v>
      </c>
      <c r="AZ6" s="2">
        <v>0.31566666666666665</v>
      </c>
      <c r="BA6" s="2">
        <v>0.60466666666666669</v>
      </c>
      <c r="BB6" s="2">
        <v>1.585</v>
      </c>
      <c r="BC6" s="2">
        <v>2.5379999999999998</v>
      </c>
      <c r="BD6" s="2">
        <v>11.292333333333334</v>
      </c>
      <c r="BE6" s="2">
        <v>1.8773333333333333</v>
      </c>
      <c r="BF6" s="2">
        <v>0.32866666666666666</v>
      </c>
      <c r="BG6" s="2">
        <v>7.5186666666666673</v>
      </c>
      <c r="BH6" s="2">
        <v>1.196</v>
      </c>
      <c r="BI6" s="2">
        <v>0.9943333333333334</v>
      </c>
      <c r="BJ6" s="2">
        <v>12.711</v>
      </c>
      <c r="BK6" s="2">
        <v>2.1839999999999997</v>
      </c>
      <c r="BL6" s="2">
        <v>6.293333333333333</v>
      </c>
      <c r="BM6" s="2">
        <v>2.2229999999999999</v>
      </c>
      <c r="BN6" s="2">
        <v>1.2356666666666667</v>
      </c>
      <c r="BO6" s="2">
        <v>9.0446666666666662</v>
      </c>
      <c r="BP6" s="2">
        <v>1.0863333333333334</v>
      </c>
      <c r="BQ6" s="2">
        <v>1.5270000000000001</v>
      </c>
      <c r="BR6" s="2">
        <v>0.82399999999999995</v>
      </c>
      <c r="BS6" s="2">
        <v>4.4136666666666668</v>
      </c>
      <c r="BT6" s="2">
        <v>0.22266666666666668</v>
      </c>
      <c r="BU6" s="29">
        <v>0.73036800000000013</v>
      </c>
      <c r="BV6" s="29">
        <v>0.150336</v>
      </c>
      <c r="BW6" s="29">
        <v>2.6092800000000005</v>
      </c>
      <c r="BX6" s="29">
        <v>0.30844800000000006</v>
      </c>
      <c r="BY6" s="30">
        <v>0.63705600000000018</v>
      </c>
    </row>
    <row r="7" spans="1:77" x14ac:dyDescent="0.35">
      <c r="A7" s="12" t="s">
        <v>5</v>
      </c>
      <c r="B7" s="3">
        <v>1.4826666666666668</v>
      </c>
      <c r="C7" s="2">
        <v>4.024</v>
      </c>
      <c r="D7" s="2">
        <v>0.65333333333333332</v>
      </c>
      <c r="E7" s="2">
        <v>0.22333333333333336</v>
      </c>
      <c r="F7" s="2">
        <v>8.3816666666666659</v>
      </c>
      <c r="G7" s="2">
        <v>1.3376666666666666</v>
      </c>
      <c r="H7" s="2">
        <v>0.24199999999999999</v>
      </c>
      <c r="I7" s="2">
        <v>7.2983333333333329</v>
      </c>
      <c r="J7" s="2">
        <v>2.6780000000000004</v>
      </c>
      <c r="K7" s="2">
        <v>7.2206666666666663</v>
      </c>
      <c r="L7" s="2">
        <v>0.76900000000000002</v>
      </c>
      <c r="M7" s="2">
        <v>44.516666666666673</v>
      </c>
      <c r="N7" s="2">
        <v>1.663</v>
      </c>
      <c r="O7" s="2">
        <v>0.85799999999999998</v>
      </c>
      <c r="P7" s="2">
        <v>0.81366666666666665</v>
      </c>
      <c r="Q7" s="2">
        <v>2.1480000000000001</v>
      </c>
      <c r="R7" s="2">
        <v>1.5836666666666668</v>
      </c>
      <c r="S7" s="2">
        <v>0.85300000000000009</v>
      </c>
      <c r="T7" s="2">
        <v>1.3663333333333334</v>
      </c>
      <c r="U7" s="2">
        <v>1.5546666666666666</v>
      </c>
      <c r="V7" s="2">
        <v>1.2876666666666667</v>
      </c>
      <c r="W7" s="2">
        <v>3.5246666666666666</v>
      </c>
      <c r="X7" s="2">
        <v>2.41</v>
      </c>
      <c r="Y7" s="2">
        <v>2.0383333333333336</v>
      </c>
      <c r="Z7" s="2">
        <v>1.2689999999999999</v>
      </c>
      <c r="AA7" s="2">
        <v>3.0399999999999996</v>
      </c>
      <c r="AB7" s="2">
        <v>2.5633333333333335</v>
      </c>
      <c r="AC7" s="2">
        <v>8.4743333333333322</v>
      </c>
      <c r="AD7" s="2">
        <v>2.0289999999999999</v>
      </c>
      <c r="AE7" s="2">
        <v>18.832333333333334</v>
      </c>
      <c r="AF7" s="2">
        <v>0.85733333333333339</v>
      </c>
      <c r="AG7" s="2">
        <v>14.636000000000001</v>
      </c>
      <c r="AH7" s="2">
        <v>1.032</v>
      </c>
      <c r="AI7" s="2">
        <v>1.1723333333333332</v>
      </c>
      <c r="AJ7" s="2">
        <v>4.9636666666666667</v>
      </c>
      <c r="AK7" s="2">
        <v>4.6486666666666663</v>
      </c>
      <c r="AL7" s="2">
        <v>6.3053333333333335</v>
      </c>
      <c r="AM7" s="2">
        <v>24.209333333333333</v>
      </c>
      <c r="AN7" s="2">
        <v>1.3726666666666667</v>
      </c>
      <c r="AO7" s="2">
        <v>0.98799999999999999</v>
      </c>
      <c r="AP7" s="2">
        <v>1.091</v>
      </c>
      <c r="AQ7" s="2">
        <v>1.1896666666666667</v>
      </c>
      <c r="AR7" s="2">
        <v>16.03</v>
      </c>
      <c r="AS7" s="2">
        <v>7.3116666666666665</v>
      </c>
      <c r="AT7" s="2">
        <v>0.97533333333333339</v>
      </c>
      <c r="AU7" s="2">
        <v>0.78066666666666673</v>
      </c>
      <c r="AV7" s="2">
        <v>9.3999999999999986E-2</v>
      </c>
      <c r="AW7" s="2">
        <v>7.4466666666666663</v>
      </c>
      <c r="AX7" s="2">
        <v>0.121</v>
      </c>
      <c r="AY7" s="2">
        <v>23.276666666666667</v>
      </c>
      <c r="AZ7" s="2">
        <v>5.8790000000000004</v>
      </c>
      <c r="BA7" s="2">
        <v>0.22533333333333336</v>
      </c>
      <c r="BB7" s="2">
        <v>0.70933333333333337</v>
      </c>
      <c r="BC7" s="2">
        <v>4.2080000000000002</v>
      </c>
      <c r="BD7" s="2">
        <v>5.8133333333333335</v>
      </c>
      <c r="BE7" s="2">
        <v>2.1013333333333333</v>
      </c>
      <c r="BF7" s="2">
        <v>0.28433333333333333</v>
      </c>
      <c r="BG7" s="2">
        <v>5.8339999999999996</v>
      </c>
      <c r="BH7" s="2">
        <v>0.43966666666666665</v>
      </c>
      <c r="BI7" s="2">
        <v>1.3579999999999999</v>
      </c>
      <c r="BJ7" s="2">
        <v>9.31</v>
      </c>
      <c r="BK7" s="2">
        <v>1.1783333333333335</v>
      </c>
      <c r="BL7" s="2">
        <v>1.6673333333333333</v>
      </c>
      <c r="BM7" s="2">
        <v>3.3396666666666666</v>
      </c>
      <c r="BN7" s="2">
        <v>3.5133333333333332</v>
      </c>
      <c r="BO7" s="2">
        <v>9.4973333333333336</v>
      </c>
      <c r="BP7" s="2">
        <v>1.4530000000000001</v>
      </c>
      <c r="BQ7" s="2">
        <v>2.2553333333333332</v>
      </c>
      <c r="BR7" s="2">
        <v>0.38399999999999995</v>
      </c>
      <c r="BS7" s="2">
        <v>8.0736666666666661</v>
      </c>
      <c r="BT7" s="2">
        <v>0.40566666666666668</v>
      </c>
      <c r="BU7" s="29">
        <v>2.8419839999999996</v>
      </c>
      <c r="BV7" s="29">
        <v>3.9456000000000005E-2</v>
      </c>
      <c r="BW7" s="29">
        <v>2.0355840000000005</v>
      </c>
      <c r="BX7" s="29">
        <v>0.26236799999999999</v>
      </c>
      <c r="BY7" s="30">
        <v>0.29404799999999998</v>
      </c>
    </row>
    <row r="8" spans="1:77" x14ac:dyDescent="0.35">
      <c r="A8" s="12" t="s">
        <v>6</v>
      </c>
      <c r="B8" s="3">
        <v>1.1603333333333332</v>
      </c>
      <c r="C8" s="2">
        <v>1.6383333333333332</v>
      </c>
      <c r="D8" s="2">
        <v>0.34366666666666668</v>
      </c>
      <c r="E8" s="2">
        <v>0.52966666666666662</v>
      </c>
      <c r="F8" s="2">
        <v>4.9479999999999995</v>
      </c>
      <c r="G8" s="2">
        <v>0.84766666666666668</v>
      </c>
      <c r="H8" s="2">
        <v>0.20166666666666666</v>
      </c>
      <c r="I8" s="2">
        <v>1.0386666666666666</v>
      </c>
      <c r="J8" s="2">
        <v>1.5973333333333333</v>
      </c>
      <c r="K8" s="2">
        <v>3.9440000000000004</v>
      </c>
      <c r="L8" s="2">
        <v>1.7229999999999999</v>
      </c>
      <c r="M8" s="2">
        <v>15.580666666666666</v>
      </c>
      <c r="N8" s="2">
        <v>0.69266666666666665</v>
      </c>
      <c r="O8" s="2">
        <v>0.65266666666666662</v>
      </c>
      <c r="P8" s="2">
        <v>0.43566666666666665</v>
      </c>
      <c r="Q8" s="2">
        <v>0.98466666666666669</v>
      </c>
      <c r="R8" s="2">
        <v>0.83233333333333326</v>
      </c>
      <c r="S8" s="2">
        <v>0.71133333333333326</v>
      </c>
      <c r="T8" s="2">
        <v>6.3496666666666668</v>
      </c>
      <c r="U8" s="2">
        <v>1.367</v>
      </c>
      <c r="V8" s="2">
        <v>2.4689999999999999</v>
      </c>
      <c r="W8" s="2">
        <v>7.3916666666666666</v>
      </c>
      <c r="X8" s="2">
        <v>3.1976666666666667</v>
      </c>
      <c r="Y8" s="2">
        <v>2.6933333333333334</v>
      </c>
      <c r="Z8" s="2">
        <v>1.026</v>
      </c>
      <c r="AA8" s="2">
        <v>55.222000000000001</v>
      </c>
      <c r="AB8" s="2">
        <v>55.979333333333329</v>
      </c>
      <c r="AC8" s="2">
        <v>9.3486666666666665</v>
      </c>
      <c r="AD8" s="2">
        <v>1.1483333333333332</v>
      </c>
      <c r="AE8" s="2">
        <v>8.7013333333333325</v>
      </c>
      <c r="AF8" s="2">
        <v>0.47733333333333333</v>
      </c>
      <c r="AG8" s="2">
        <v>10.028</v>
      </c>
      <c r="AH8" s="2">
        <v>0.90899999999999992</v>
      </c>
      <c r="AI8" s="2">
        <v>0.57633333333333336</v>
      </c>
      <c r="AJ8" s="2">
        <v>4.6506666666666669</v>
      </c>
      <c r="AK8" s="2">
        <v>6.0703333333333331</v>
      </c>
      <c r="AL8" s="2">
        <v>10.725</v>
      </c>
      <c r="AM8" s="2">
        <v>16.442</v>
      </c>
      <c r="AN8" s="2">
        <v>3.2723333333333335</v>
      </c>
      <c r="AO8" s="2">
        <v>0.872</v>
      </c>
      <c r="AP8" s="2">
        <v>9.7590000000000003</v>
      </c>
      <c r="AQ8" s="2">
        <v>1.623</v>
      </c>
      <c r="AR8" s="2">
        <v>21.599</v>
      </c>
      <c r="AS8" s="2">
        <v>4.4383333333333335</v>
      </c>
      <c r="AT8" s="2">
        <v>1.9176666666666666</v>
      </c>
      <c r="AU8" s="2">
        <v>0.44700000000000001</v>
      </c>
      <c r="AV8" s="2">
        <v>5.9666666666666666E-2</v>
      </c>
      <c r="AW8" s="2">
        <v>4.0309999999999997</v>
      </c>
      <c r="AX8" s="2">
        <v>0.12366666666666666</v>
      </c>
      <c r="AY8" s="2">
        <v>12.113333333333335</v>
      </c>
      <c r="AZ8" s="2">
        <v>1.8193333333333335</v>
      </c>
      <c r="BA8" s="2">
        <v>0.20233333333333334</v>
      </c>
      <c r="BB8" s="2">
        <v>1.7776666666666667</v>
      </c>
      <c r="BC8" s="2">
        <v>11.064</v>
      </c>
      <c r="BD8" s="2">
        <v>7.02</v>
      </c>
      <c r="BE8" s="2">
        <v>0.59433333333333327</v>
      </c>
      <c r="BF8" s="2">
        <v>0.46466666666666662</v>
      </c>
      <c r="BG8" s="2">
        <v>6.6749999999999998</v>
      </c>
      <c r="BH8" s="2">
        <v>1.9373333333333334</v>
      </c>
      <c r="BI8" s="2">
        <v>1.1506666666666667</v>
      </c>
      <c r="BJ8" s="2">
        <v>142.89699999999999</v>
      </c>
      <c r="BK8" s="2">
        <v>0.85366666666666668</v>
      </c>
      <c r="BL8" s="2">
        <v>0.45266666666666672</v>
      </c>
      <c r="BM8" s="2">
        <v>3.3803333333333332</v>
      </c>
      <c r="BN8" s="2">
        <v>1.4366666666666665</v>
      </c>
      <c r="BO8" s="2">
        <v>6.4796666666666667</v>
      </c>
      <c r="BP8" s="2">
        <v>1.0623333333333334</v>
      </c>
      <c r="BQ8" s="2">
        <v>0.93800000000000006</v>
      </c>
      <c r="BR8" s="2">
        <v>0.35766666666666663</v>
      </c>
      <c r="BS8" s="2">
        <v>3.9863333333333331</v>
      </c>
      <c r="BT8" s="2">
        <v>0.30099999999999999</v>
      </c>
      <c r="BU8" s="29">
        <v>1.4483520000000001</v>
      </c>
      <c r="BV8" s="29">
        <v>3.7151999999999998E-2</v>
      </c>
      <c r="BW8" s="29">
        <v>0.44726400000000005</v>
      </c>
      <c r="BX8" s="29">
        <v>1.0437120000000002</v>
      </c>
      <c r="BY8" s="30">
        <v>1.2686400000000002</v>
      </c>
    </row>
    <row r="9" spans="1:77" x14ac:dyDescent="0.35">
      <c r="A9" s="12" t="s">
        <v>7</v>
      </c>
      <c r="B9" s="3">
        <v>1.1656666666666669</v>
      </c>
      <c r="C9" s="2">
        <v>1.0533333333333332</v>
      </c>
      <c r="D9" s="2">
        <v>0.51333333333333342</v>
      </c>
      <c r="E9" s="2">
        <v>3.1910000000000003</v>
      </c>
      <c r="F9" s="2">
        <v>2.3180000000000001</v>
      </c>
      <c r="G9" s="2">
        <v>1.2376666666666667</v>
      </c>
      <c r="H9" s="2">
        <v>0.30333333333333334</v>
      </c>
      <c r="I9" s="2">
        <v>0.51033333333333331</v>
      </c>
      <c r="J9" s="2">
        <v>0.68666666666666665</v>
      </c>
      <c r="K9" s="2">
        <v>4.0906666666666665</v>
      </c>
      <c r="L9" s="2">
        <v>2.4666666666666668</v>
      </c>
      <c r="M9" s="2">
        <v>7.6499999999999995</v>
      </c>
      <c r="N9" s="2">
        <v>0.62033333333333329</v>
      </c>
      <c r="O9" s="2">
        <v>0.52400000000000002</v>
      </c>
      <c r="P9" s="2">
        <v>0.88300000000000001</v>
      </c>
      <c r="Q9" s="2">
        <v>1.1953333333333334</v>
      </c>
      <c r="R9" s="2">
        <v>0.92666666666666664</v>
      </c>
      <c r="S9" s="2">
        <v>0.77533333333333332</v>
      </c>
      <c r="T9" s="2">
        <v>3.532</v>
      </c>
      <c r="U9" s="2">
        <v>4.05</v>
      </c>
      <c r="V9" s="2">
        <v>4.5339999999999998</v>
      </c>
      <c r="W9" s="2">
        <v>22.116</v>
      </c>
      <c r="X9" s="2">
        <v>9.0603333333333342</v>
      </c>
      <c r="Y9" s="2">
        <v>2.3126666666666664</v>
      </c>
      <c r="Z9" s="2">
        <v>2.337333333333333</v>
      </c>
      <c r="AA9" s="2">
        <v>19.97</v>
      </c>
      <c r="AB9" s="2">
        <v>37.517666666666663</v>
      </c>
      <c r="AC9" s="2">
        <v>6.194</v>
      </c>
      <c r="AD9" s="2">
        <v>2.8200000000000003</v>
      </c>
      <c r="AE9" s="2">
        <v>6.4556666666666667</v>
      </c>
      <c r="AF9" s="2">
        <v>16.219666666666665</v>
      </c>
      <c r="AG9" s="2">
        <v>6.5403333333333329</v>
      </c>
      <c r="AH9" s="2">
        <v>0.97366666666666657</v>
      </c>
      <c r="AI9" s="2">
        <v>0.63833333333333331</v>
      </c>
      <c r="AJ9" s="2">
        <v>1.1496666666666666</v>
      </c>
      <c r="AK9" s="2">
        <v>1.782</v>
      </c>
      <c r="AL9" s="2">
        <v>6.8873333333333333</v>
      </c>
      <c r="AM9" s="2">
        <v>13.118333333333332</v>
      </c>
      <c r="AN9" s="2">
        <v>6.4736666666666665</v>
      </c>
      <c r="AO9" s="2">
        <v>1.1636666666666666</v>
      </c>
      <c r="AP9" s="2">
        <v>8.7543333333333333</v>
      </c>
      <c r="AQ9" s="2">
        <v>1.9946666666666666</v>
      </c>
      <c r="AR9" s="2">
        <v>14.901000000000002</v>
      </c>
      <c r="AS9" s="2">
        <v>2.7856666666666663</v>
      </c>
      <c r="AT9" s="2">
        <v>0.81099999999999994</v>
      </c>
      <c r="AU9" s="2">
        <v>0.13066666666666668</v>
      </c>
      <c r="AV9" s="2">
        <v>1.4426666666666668</v>
      </c>
      <c r="AW9" s="2">
        <v>0.42666666666666669</v>
      </c>
      <c r="AX9" s="2">
        <v>21.554333333333332</v>
      </c>
      <c r="AY9" s="2">
        <v>9.3469999999999995</v>
      </c>
      <c r="AZ9" s="2">
        <v>0.45433333333333331</v>
      </c>
      <c r="BA9" s="2">
        <v>0.27066666666666667</v>
      </c>
      <c r="BB9" s="2">
        <v>1.7626666666666668</v>
      </c>
      <c r="BC9" s="2">
        <v>7.9783333333333326</v>
      </c>
      <c r="BD9" s="2">
        <v>6.9849999999999994</v>
      </c>
      <c r="BE9" s="2">
        <v>0.79233333333333322</v>
      </c>
      <c r="BF9" s="2">
        <v>0.55799999999999994</v>
      </c>
      <c r="BG9" s="2">
        <v>8.5239999999999991</v>
      </c>
      <c r="BH9" s="2">
        <v>7.0910000000000002</v>
      </c>
      <c r="BI9" s="2">
        <v>0.7416666666666667</v>
      </c>
      <c r="BJ9" s="2">
        <v>33.244</v>
      </c>
      <c r="BK9" s="2">
        <v>1.3080000000000001</v>
      </c>
      <c r="BL9" s="2">
        <v>0.36633333333333334</v>
      </c>
      <c r="BM9" s="2">
        <v>5.8490000000000002</v>
      </c>
      <c r="BN9" s="2">
        <v>0.8793333333333333</v>
      </c>
      <c r="BO9" s="2">
        <v>6.2346666666666666</v>
      </c>
      <c r="BP9" s="2">
        <v>5.0586666666666664</v>
      </c>
      <c r="BQ9" s="2">
        <v>0.82900000000000007</v>
      </c>
      <c r="BR9" s="2">
        <v>0.80799999999999994</v>
      </c>
      <c r="BS9" s="2">
        <v>1.4850000000000001</v>
      </c>
      <c r="BT9" s="2">
        <v>0.14025599999999999</v>
      </c>
      <c r="BU9" s="29">
        <v>0.57599999999999996</v>
      </c>
      <c r="BV9" s="29">
        <v>3.9427199999999996</v>
      </c>
      <c r="BW9" s="29">
        <v>2.8059839999999996</v>
      </c>
      <c r="BX9" s="29">
        <v>0.37756800000000001</v>
      </c>
      <c r="BY9" s="30">
        <v>0.26438400000000001</v>
      </c>
    </row>
    <row r="10" spans="1:77" x14ac:dyDescent="0.35">
      <c r="A10" s="12" t="s">
        <v>8</v>
      </c>
      <c r="B10" s="3">
        <v>1.0880000000000001</v>
      </c>
      <c r="C10" s="2">
        <v>1.3283333333333334</v>
      </c>
      <c r="D10" s="2">
        <v>0.61</v>
      </c>
      <c r="E10" s="2">
        <v>8.2016666666666662</v>
      </c>
      <c r="F10" s="2">
        <v>1.7753333333333332</v>
      </c>
      <c r="G10" s="2">
        <v>1.1553333333333333</v>
      </c>
      <c r="H10" s="2">
        <v>0.5076666666666666</v>
      </c>
      <c r="I10" s="2">
        <v>1.444</v>
      </c>
      <c r="J10" s="2">
        <v>26.550666666666668</v>
      </c>
      <c r="K10" s="2">
        <v>5.4593333333333334</v>
      </c>
      <c r="L10" s="2">
        <v>2.7413333333333334</v>
      </c>
      <c r="M10" s="2">
        <v>4.9333333333333336</v>
      </c>
      <c r="N10" s="2">
        <v>1.3789999999999998</v>
      </c>
      <c r="O10" s="2">
        <v>0.48633333333333334</v>
      </c>
      <c r="P10" s="2">
        <v>38.923333333333332</v>
      </c>
      <c r="Q10" s="2">
        <v>1.0376666666666667</v>
      </c>
      <c r="R10" s="2">
        <v>2.0713333333333335</v>
      </c>
      <c r="S10" s="2">
        <v>7.2673333333333332</v>
      </c>
      <c r="T10" s="2">
        <v>3.9123333333333332</v>
      </c>
      <c r="U10" s="2">
        <v>5.0863333333333332</v>
      </c>
      <c r="V10" s="2">
        <v>10.377333333333334</v>
      </c>
      <c r="W10" s="2">
        <v>13.841333333333333</v>
      </c>
      <c r="X10" s="2">
        <v>7.2880000000000003</v>
      </c>
      <c r="Y10" s="2">
        <v>1.9993333333333334</v>
      </c>
      <c r="Z10" s="2">
        <v>6.8526666666666669</v>
      </c>
      <c r="AA10" s="2">
        <v>13.991</v>
      </c>
      <c r="AB10" s="2">
        <v>23.788666666666668</v>
      </c>
      <c r="AC10" s="2">
        <v>4.056</v>
      </c>
      <c r="AD10" s="2">
        <v>6.8090000000000002</v>
      </c>
      <c r="AE10" s="2">
        <v>4.5356666666666667</v>
      </c>
      <c r="AF10" s="2">
        <v>9.4960000000000004</v>
      </c>
      <c r="AG10" s="2">
        <v>6.0249999999999995</v>
      </c>
      <c r="AH10" s="2">
        <v>1.7916666666666667</v>
      </c>
      <c r="AI10" s="2">
        <v>1.8376666666666666</v>
      </c>
      <c r="AJ10" s="2">
        <v>0.72233333333333327</v>
      </c>
      <c r="AK10" s="2">
        <v>4.6523333333333339</v>
      </c>
      <c r="AL10" s="2">
        <v>11.515333333333333</v>
      </c>
      <c r="AM10" s="2">
        <v>12.979999999999999</v>
      </c>
      <c r="AN10" s="2">
        <v>10.882</v>
      </c>
      <c r="AO10" s="2">
        <v>1.0973333333333333</v>
      </c>
      <c r="AP10" s="2">
        <v>15.327</v>
      </c>
      <c r="AQ10" s="2">
        <v>17.211666666666666</v>
      </c>
      <c r="AR10" s="2">
        <v>10.895000000000001</v>
      </c>
      <c r="AS10" s="2">
        <v>4.9236666666666666</v>
      </c>
      <c r="AT10" s="2">
        <v>1.9749999999999999</v>
      </c>
      <c r="AU10" s="2">
        <v>0.28099999999999997</v>
      </c>
      <c r="AV10" s="2">
        <v>5.9490000000000007</v>
      </c>
      <c r="AW10" s="2">
        <v>1.9566666666666668</v>
      </c>
      <c r="AX10" s="2">
        <v>8.0326666666666657</v>
      </c>
      <c r="AY10" s="2">
        <v>9.5846666666666671</v>
      </c>
      <c r="AZ10" s="2">
        <v>0.55999999999999994</v>
      </c>
      <c r="BA10" s="2">
        <v>2.2490000000000001</v>
      </c>
      <c r="BB10" s="2">
        <v>0.71433333333333326</v>
      </c>
      <c r="BC10" s="2">
        <v>6.1769999999999996</v>
      </c>
      <c r="BD10" s="2">
        <v>7.7789999999999999</v>
      </c>
      <c r="BE10" s="2">
        <v>0.34</v>
      </c>
      <c r="BF10" s="2">
        <v>0.88300000000000001</v>
      </c>
      <c r="BG10" s="2">
        <v>7.3959999999999999</v>
      </c>
      <c r="BH10" s="2">
        <v>14.186999999999999</v>
      </c>
      <c r="BI10" s="2">
        <v>1.6823333333333332</v>
      </c>
      <c r="BJ10" s="2">
        <v>22.049333333333333</v>
      </c>
      <c r="BK10" s="2">
        <v>1.056</v>
      </c>
      <c r="BL10" s="2">
        <v>10.555</v>
      </c>
      <c r="BM10" s="2">
        <v>7.7396666666666674</v>
      </c>
      <c r="BN10" s="2">
        <v>3.3443333333333332</v>
      </c>
      <c r="BO10" s="2">
        <v>4.3946666666666667</v>
      </c>
      <c r="BP10" s="2">
        <v>13.167333333333334</v>
      </c>
      <c r="BQ10" s="2">
        <v>8.4820000000000011</v>
      </c>
      <c r="BR10" s="2">
        <v>11.939666666666668</v>
      </c>
      <c r="BS10" s="2">
        <v>1.0743333333333334</v>
      </c>
      <c r="BT10" s="2">
        <v>2.505312</v>
      </c>
      <c r="BU10" s="29">
        <v>0.31737599999999994</v>
      </c>
      <c r="BV10" s="29">
        <v>13.414752000000002</v>
      </c>
      <c r="BW10" s="29">
        <v>4.3050240000000004</v>
      </c>
      <c r="BX10" s="29">
        <v>3.3785280000000006</v>
      </c>
      <c r="BY10" s="30">
        <v>0.55180800000000008</v>
      </c>
    </row>
    <row r="11" spans="1:77" x14ac:dyDescent="0.35">
      <c r="A11" s="12" t="s">
        <v>9</v>
      </c>
      <c r="B11" s="3">
        <v>1.5626666666666666</v>
      </c>
      <c r="C11" s="2">
        <v>1.6236666666666668</v>
      </c>
      <c r="D11" s="2">
        <v>0.70666666666666667</v>
      </c>
      <c r="E11" s="2">
        <v>2.529666666666667</v>
      </c>
      <c r="F11" s="2">
        <v>5.4753333333333325</v>
      </c>
      <c r="G11" s="2">
        <v>1.0623333333333334</v>
      </c>
      <c r="H11" s="2">
        <v>1.3416666666666668</v>
      </c>
      <c r="I11" s="2">
        <v>1.8703333333333332</v>
      </c>
      <c r="J11" s="2">
        <v>29.534333333333333</v>
      </c>
      <c r="K11" s="2">
        <v>8.8049999999999997</v>
      </c>
      <c r="L11" s="2">
        <v>10.375333333333334</v>
      </c>
      <c r="M11" s="2">
        <v>4.5856666666666666</v>
      </c>
      <c r="N11" s="2">
        <v>5.3626666666666667</v>
      </c>
      <c r="O11" s="2">
        <v>0.69799999999999995</v>
      </c>
      <c r="P11" s="2">
        <v>20.321333333333332</v>
      </c>
      <c r="Q11" s="2">
        <v>1.492</v>
      </c>
      <c r="R11" s="2">
        <v>1.5423333333333333</v>
      </c>
      <c r="S11" s="2">
        <v>6.2530000000000001</v>
      </c>
      <c r="T11" s="2">
        <v>3.3383333333333334</v>
      </c>
      <c r="U11" s="2">
        <v>11.893666666666666</v>
      </c>
      <c r="V11" s="2">
        <v>13.645333333333333</v>
      </c>
      <c r="W11" s="2">
        <v>17.593999999999998</v>
      </c>
      <c r="X11" s="2">
        <v>6.7940000000000005</v>
      </c>
      <c r="Y11" s="2">
        <v>25.911666666666665</v>
      </c>
      <c r="Z11" s="2">
        <v>12.199666666666666</v>
      </c>
      <c r="AA11" s="2">
        <v>11.735999999999999</v>
      </c>
      <c r="AB11" s="2">
        <v>18.213000000000001</v>
      </c>
      <c r="AC11" s="2">
        <v>6.6990000000000007</v>
      </c>
      <c r="AD11" s="2">
        <v>13.006</v>
      </c>
      <c r="AE11" s="2">
        <v>3.1253333333333333</v>
      </c>
      <c r="AF11" s="2">
        <v>17.446999999999999</v>
      </c>
      <c r="AG11" s="2">
        <v>7.1280000000000001</v>
      </c>
      <c r="AH11" s="2">
        <v>1.7373333333333332</v>
      </c>
      <c r="AI11" s="2">
        <v>4.6853333333333333</v>
      </c>
      <c r="AJ11" s="2">
        <v>6.9506666666666668</v>
      </c>
      <c r="AK11" s="2">
        <v>6.4123333333333328</v>
      </c>
      <c r="AL11" s="2">
        <v>18.734333333333336</v>
      </c>
      <c r="AM11" s="2">
        <v>11.756</v>
      </c>
      <c r="AN11" s="2">
        <v>14.025666666666666</v>
      </c>
      <c r="AO11" s="2">
        <v>0.94</v>
      </c>
      <c r="AP11" s="2">
        <v>15.051</v>
      </c>
      <c r="AQ11" s="2">
        <v>16.781666666666666</v>
      </c>
      <c r="AR11" s="2">
        <v>9.2043333333333326</v>
      </c>
      <c r="AS11" s="2">
        <v>3.903</v>
      </c>
      <c r="AT11" s="2">
        <v>1.1013333333333333</v>
      </c>
      <c r="AU11" s="2">
        <v>0.33699999999999997</v>
      </c>
      <c r="AV11" s="2">
        <v>2.9796666666666667</v>
      </c>
      <c r="AW11" s="2">
        <v>11.243666666666668</v>
      </c>
      <c r="AX11" s="2">
        <v>4.375</v>
      </c>
      <c r="AY11" s="2">
        <v>7.7283333333333326</v>
      </c>
      <c r="AZ11" s="2">
        <v>3.81</v>
      </c>
      <c r="BA11" s="2">
        <v>0.54366666666666663</v>
      </c>
      <c r="BB11" s="2">
        <v>26.727</v>
      </c>
      <c r="BC11" s="2">
        <v>9.0936666666666657</v>
      </c>
      <c r="BD11" s="2">
        <v>11.302999999999999</v>
      </c>
      <c r="BE11" s="2">
        <v>23.59566666666667</v>
      </c>
      <c r="BF11" s="2">
        <v>0.81400000000000006</v>
      </c>
      <c r="BG11" s="2">
        <v>5.6046666666666667</v>
      </c>
      <c r="BH11" s="2">
        <v>12.24</v>
      </c>
      <c r="BI11" s="2">
        <v>2.1356666666666668</v>
      </c>
      <c r="BJ11" s="2">
        <v>18.797666666666668</v>
      </c>
      <c r="BK11" s="2">
        <v>1.8743333333333334</v>
      </c>
      <c r="BL11" s="2">
        <v>12.464666666666666</v>
      </c>
      <c r="BM11" s="2">
        <v>13.141333333333334</v>
      </c>
      <c r="BN11" s="2">
        <v>6.6143333333333336</v>
      </c>
      <c r="BO11" s="2">
        <v>6.9546666666666672</v>
      </c>
      <c r="BP11" s="2">
        <v>9.4420000000000002</v>
      </c>
      <c r="BQ11" s="2">
        <v>21.925333333333331</v>
      </c>
      <c r="BR11" s="2">
        <v>20.332666666666665</v>
      </c>
      <c r="BS11" s="2">
        <v>2.0533333333333332</v>
      </c>
      <c r="BT11" s="2">
        <v>1.8743040000000002</v>
      </c>
      <c r="BU11" s="29">
        <v>1.22976</v>
      </c>
      <c r="BV11" s="29">
        <v>7.9286400000000015</v>
      </c>
      <c r="BW11" s="29">
        <v>1.731168</v>
      </c>
      <c r="BX11" s="29">
        <v>1.4849279999999998</v>
      </c>
      <c r="BY11" s="46">
        <v>0.34819200000000028</v>
      </c>
    </row>
    <row r="12" spans="1:77" x14ac:dyDescent="0.35">
      <c r="A12" s="12" t="s">
        <v>10</v>
      </c>
      <c r="B12" s="3">
        <v>1.2673333333333332</v>
      </c>
      <c r="C12" s="2">
        <v>1.4856666666666667</v>
      </c>
      <c r="D12" s="2">
        <v>0.58766666666666667</v>
      </c>
      <c r="E12" s="2">
        <v>1.212</v>
      </c>
      <c r="F12" s="2">
        <v>2.1943333333333332</v>
      </c>
      <c r="G12" s="2">
        <v>1.0546666666666666</v>
      </c>
      <c r="H12" s="2">
        <v>0.33</v>
      </c>
      <c r="I12" s="2">
        <v>0.96066666666666667</v>
      </c>
      <c r="J12" s="2">
        <v>26.340333333333334</v>
      </c>
      <c r="K12" s="2">
        <v>7.2273333333333332</v>
      </c>
      <c r="L12" s="2">
        <v>5.6773333333333333</v>
      </c>
      <c r="M12" s="2">
        <v>3.8176666666666663</v>
      </c>
      <c r="N12" s="2">
        <v>3.0143333333333331</v>
      </c>
      <c r="O12" s="2">
        <v>0.67200000000000004</v>
      </c>
      <c r="P12" s="2">
        <v>8.6536666666666662</v>
      </c>
      <c r="Q12" s="2">
        <v>1.7503333333333335</v>
      </c>
      <c r="R12" s="2">
        <v>1.4263333333333332</v>
      </c>
      <c r="S12" s="2">
        <v>4.230666666666667</v>
      </c>
      <c r="T12" s="2">
        <v>1.9903333333333333</v>
      </c>
      <c r="U12" s="2">
        <v>4.0236666666666663</v>
      </c>
      <c r="V12" s="2">
        <v>7.5056666666666665</v>
      </c>
      <c r="W12" s="2">
        <v>12.139333333333333</v>
      </c>
      <c r="X12" s="2">
        <v>5.1669999999999998</v>
      </c>
      <c r="Y12" s="2">
        <v>7.9253333333333336</v>
      </c>
      <c r="Z12" s="2">
        <v>10.434333333333333</v>
      </c>
      <c r="AA12" s="2">
        <v>8.923</v>
      </c>
      <c r="AB12" s="2">
        <v>16.732666666666667</v>
      </c>
      <c r="AC12" s="2">
        <v>4.6790000000000003</v>
      </c>
      <c r="AD12" s="2">
        <v>20.050333333333334</v>
      </c>
      <c r="AE12" s="2">
        <v>2.9376666666666669</v>
      </c>
      <c r="AF12" s="2">
        <v>13.141333333333334</v>
      </c>
      <c r="AG12" s="2">
        <v>5.4396666666666667</v>
      </c>
      <c r="AH12" s="2">
        <v>1.409</v>
      </c>
      <c r="AI12" s="2">
        <v>11.684333333333333</v>
      </c>
      <c r="AJ12" s="2">
        <v>2.4233333333333333</v>
      </c>
      <c r="AK12" s="2">
        <v>2.754</v>
      </c>
      <c r="AL12" s="2">
        <v>11.955</v>
      </c>
      <c r="AM12" s="2">
        <v>9.7230000000000008</v>
      </c>
      <c r="AN12" s="2">
        <v>9.6896666666666658</v>
      </c>
      <c r="AO12" s="2">
        <v>0.84500000000000008</v>
      </c>
      <c r="AP12" s="2">
        <v>10.459999999999999</v>
      </c>
      <c r="AQ12" s="2">
        <v>11.399000000000001</v>
      </c>
      <c r="AR12" s="2">
        <v>5.4353333333333333</v>
      </c>
      <c r="AS12" s="2">
        <v>1.923</v>
      </c>
      <c r="AT12" s="2">
        <v>0.91600000000000004</v>
      </c>
      <c r="AU12" s="2">
        <v>0.433</v>
      </c>
      <c r="AV12" s="2">
        <v>1.2976666666666665</v>
      </c>
      <c r="AW12" s="2">
        <v>9.4466666666666672</v>
      </c>
      <c r="AX12" s="2">
        <v>1.9506666666666668</v>
      </c>
      <c r="AY12" s="2">
        <v>5.3583333333333334</v>
      </c>
      <c r="AZ12" s="2">
        <v>6.843</v>
      </c>
      <c r="BA12" s="2">
        <v>1.4960000000000002</v>
      </c>
      <c r="BB12" s="2">
        <v>8.5893333333333342</v>
      </c>
      <c r="BC12" s="2">
        <v>7.5563333333333338</v>
      </c>
      <c r="BD12" s="2">
        <v>10.929666666666668</v>
      </c>
      <c r="BE12" s="2">
        <v>7.594666666666666</v>
      </c>
      <c r="BF12" s="2">
        <v>0.58433333333333326</v>
      </c>
      <c r="BG12" s="2">
        <v>4.3709999999999996</v>
      </c>
      <c r="BH12" s="2">
        <v>8.927999999999999</v>
      </c>
      <c r="BI12" s="2">
        <v>1.038</v>
      </c>
      <c r="BJ12" s="2">
        <v>15.128666666666668</v>
      </c>
      <c r="BK12" s="2">
        <v>1.5803333333333331</v>
      </c>
      <c r="BL12" s="2">
        <v>4.1959999999999997</v>
      </c>
      <c r="BM12" s="2">
        <v>9.2330000000000005</v>
      </c>
      <c r="BN12" s="2">
        <v>10.455333333333334</v>
      </c>
      <c r="BO12" s="2">
        <v>6.2546666666666662</v>
      </c>
      <c r="BP12" s="2">
        <v>9.8143333333333338</v>
      </c>
      <c r="BQ12" s="2">
        <v>13.965000000000002</v>
      </c>
      <c r="BR12" s="2">
        <v>15.523333333333333</v>
      </c>
      <c r="BS12" s="2">
        <v>0.98566666666666658</v>
      </c>
      <c r="BT12" s="2">
        <v>0.49622400000000011</v>
      </c>
      <c r="BU12" s="29">
        <v>0.36777600000000005</v>
      </c>
      <c r="BV12" s="29">
        <v>4.3528319999999994</v>
      </c>
      <c r="BW12" s="29">
        <v>1.4961599999999997</v>
      </c>
      <c r="BX12" s="29">
        <v>4.5264959999999999</v>
      </c>
      <c r="BY12" s="30"/>
    </row>
    <row r="13" spans="1:77" ht="15" thickBot="1" x14ac:dyDescent="0.4">
      <c r="A13" s="13" t="s">
        <v>11</v>
      </c>
      <c r="B13" s="5">
        <v>1.357</v>
      </c>
      <c r="C13" s="4">
        <v>1.171</v>
      </c>
      <c r="D13" s="4">
        <v>0.84166666666666667</v>
      </c>
      <c r="E13" s="4">
        <v>1.5016666666666667</v>
      </c>
      <c r="F13" s="4">
        <v>1.6929999999999998</v>
      </c>
      <c r="G13" s="4">
        <v>1.0766666666666667</v>
      </c>
      <c r="H13" s="4">
        <v>0.46300000000000002</v>
      </c>
      <c r="I13" s="4">
        <v>0.96499999999999997</v>
      </c>
      <c r="J13" s="4">
        <v>18.633666666666667</v>
      </c>
      <c r="K13" s="4">
        <v>4.1386666666666665</v>
      </c>
      <c r="L13" s="4">
        <v>3.466333333333333</v>
      </c>
      <c r="M13" s="4">
        <v>2.7293333333333334</v>
      </c>
      <c r="N13" s="4">
        <v>2.2686666666666668</v>
      </c>
      <c r="O13" s="4">
        <v>0.96433333333333326</v>
      </c>
      <c r="P13" s="4">
        <v>4.4249999999999998</v>
      </c>
      <c r="Q13" s="4">
        <v>1.6143333333333334</v>
      </c>
      <c r="R13" s="4">
        <v>1.365</v>
      </c>
      <c r="S13" s="4">
        <v>2.605</v>
      </c>
      <c r="T13" s="4">
        <v>1.7346666666666666</v>
      </c>
      <c r="U13" s="4">
        <v>2.6739999999999999</v>
      </c>
      <c r="V13" s="4">
        <v>4.8793333333333333</v>
      </c>
      <c r="W13" s="4">
        <v>9.6013333333333328</v>
      </c>
      <c r="X13" s="4">
        <v>3.8416666666666668</v>
      </c>
      <c r="Y13" s="4">
        <v>5.2556666666666665</v>
      </c>
      <c r="Z13" s="4">
        <v>7.3309999999999995</v>
      </c>
      <c r="AA13" s="4">
        <v>6.5446666666666671</v>
      </c>
      <c r="AB13" s="4">
        <v>11.54</v>
      </c>
      <c r="AC13" s="4">
        <v>3.406333333333333</v>
      </c>
      <c r="AD13" s="4">
        <v>15.025</v>
      </c>
      <c r="AE13" s="4">
        <v>2.7663333333333333</v>
      </c>
      <c r="AF13" s="4">
        <v>11.416666666666666</v>
      </c>
      <c r="AG13" s="4">
        <v>3.9236666666666671</v>
      </c>
      <c r="AH13" s="4">
        <v>1.9783333333333333</v>
      </c>
      <c r="AI13" s="4">
        <v>5.4633333333333338</v>
      </c>
      <c r="AJ13" s="4">
        <v>1.2216666666666667</v>
      </c>
      <c r="AK13" s="4">
        <v>1.3433333333333335</v>
      </c>
      <c r="AL13" s="4">
        <v>10.754</v>
      </c>
      <c r="AM13" s="4">
        <v>8.5586666666666655</v>
      </c>
      <c r="AN13" s="4">
        <v>7.3723333333333336</v>
      </c>
      <c r="AO13" s="4">
        <v>1.0843333333333334</v>
      </c>
      <c r="AP13" s="4">
        <v>7.9619999999999997</v>
      </c>
      <c r="AQ13" s="4">
        <v>9.8926666666666669</v>
      </c>
      <c r="AR13" s="4">
        <v>5.351</v>
      </c>
      <c r="AS13" s="4">
        <v>2.2736666666666667</v>
      </c>
      <c r="AT13" s="4">
        <v>1.1293333333333333</v>
      </c>
      <c r="AU13" s="4">
        <v>0.49100000000000005</v>
      </c>
      <c r="AV13" s="4">
        <v>0.9900000000000001</v>
      </c>
      <c r="AW13" s="4">
        <v>5.9276666666666671</v>
      </c>
      <c r="AX13" s="4">
        <v>2.2596666666666665</v>
      </c>
      <c r="AY13" s="4">
        <v>3.1786666666666665</v>
      </c>
      <c r="AZ13" s="4">
        <v>3.621</v>
      </c>
      <c r="BA13" s="4">
        <v>0.8570000000000001</v>
      </c>
      <c r="BB13" s="4">
        <v>2.569</v>
      </c>
      <c r="BC13" s="4">
        <v>4.7573333333333334</v>
      </c>
      <c r="BD13" s="4">
        <v>8.9120000000000008</v>
      </c>
      <c r="BE13" s="4">
        <v>5.0230000000000006</v>
      </c>
      <c r="BF13" s="4">
        <v>0.6333333333333333</v>
      </c>
      <c r="BG13" s="4">
        <v>3.4643333333333337</v>
      </c>
      <c r="BH13" s="4">
        <v>7.9443333333333328</v>
      </c>
      <c r="BI13" s="4">
        <v>1.071</v>
      </c>
      <c r="BJ13" s="4">
        <v>10.173333333333334</v>
      </c>
      <c r="BK13" s="4">
        <v>1.0290000000000001</v>
      </c>
      <c r="BL13" s="4">
        <v>2.0100000000000002</v>
      </c>
      <c r="BM13" s="4">
        <v>7.0219999999999994</v>
      </c>
      <c r="BN13" s="4">
        <v>8.1156666666666677</v>
      </c>
      <c r="BO13" s="4">
        <v>2.6033333333333331</v>
      </c>
      <c r="BP13" s="4">
        <v>9.1560000000000006</v>
      </c>
      <c r="BQ13" s="4">
        <v>9.4210000000000012</v>
      </c>
      <c r="BR13" s="4">
        <v>11.790666666666667</v>
      </c>
      <c r="BS13" s="4">
        <v>1.8206666666666667</v>
      </c>
      <c r="BT13" s="4">
        <v>0.52415999999999996</v>
      </c>
      <c r="BU13" s="35">
        <v>0.42998400000000014</v>
      </c>
      <c r="BV13" s="35">
        <v>3.602592</v>
      </c>
      <c r="BW13" s="35">
        <v>1.07856</v>
      </c>
      <c r="BX13" s="35">
        <v>1.8829440000000004</v>
      </c>
      <c r="BY13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>
      <selection activeCell="A19" sqref="A19"/>
    </sheetView>
  </sheetViews>
  <sheetFormatPr baseColWidth="10" defaultRowHeight="14.5" x14ac:dyDescent="0.35"/>
  <sheetData>
    <row r="1" spans="1:77" ht="15" thickBot="1" x14ac:dyDescent="0.4">
      <c r="A1" s="14" t="s">
        <v>19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0.38600000000000001</v>
      </c>
      <c r="D2" s="7">
        <v>0.56033333333333335</v>
      </c>
      <c r="E2" s="7">
        <v>0.20066666666666666</v>
      </c>
      <c r="F2" s="7">
        <v>0.91299999999999992</v>
      </c>
      <c r="G2" s="7">
        <v>0.77733333333333332</v>
      </c>
      <c r="H2" s="7">
        <v>0.36233333333333334</v>
      </c>
      <c r="I2" s="7">
        <v>0</v>
      </c>
      <c r="J2" s="7">
        <v>0.255</v>
      </c>
      <c r="K2" s="7">
        <v>6.12</v>
      </c>
      <c r="L2" s="7">
        <v>0.94466666666666665</v>
      </c>
      <c r="M2" s="7">
        <v>1.7936666666666667</v>
      </c>
      <c r="N2" s="7">
        <v>0.92733333333333334</v>
      </c>
      <c r="O2" s="7">
        <v>0</v>
      </c>
      <c r="P2" s="7">
        <v>3.4666666666666665E-3</v>
      </c>
      <c r="Q2" s="7">
        <v>0.86699999999999999</v>
      </c>
      <c r="R2" s="7">
        <v>7.5666666666666674E-2</v>
      </c>
      <c r="S2" s="7">
        <v>0.18433333333333335</v>
      </c>
      <c r="T2" s="7">
        <v>1.1846666666666665</v>
      </c>
      <c r="U2" s="7">
        <v>0.43099999999999999</v>
      </c>
      <c r="V2" s="7">
        <v>0.46266666666666662</v>
      </c>
      <c r="W2" s="7">
        <v>1.6886666666666665</v>
      </c>
      <c r="X2" s="7">
        <v>4.1016666666666666</v>
      </c>
      <c r="Y2" s="7">
        <v>1.9359999999999999</v>
      </c>
      <c r="Z2" s="7">
        <v>1.8080000000000001</v>
      </c>
      <c r="AA2" s="7">
        <v>2.3186666666666667</v>
      </c>
      <c r="AB2" s="7">
        <v>1.6613333333333333</v>
      </c>
      <c r="AC2" s="7">
        <v>4.8513333333333337</v>
      </c>
      <c r="AD2" s="7">
        <v>0.23066666666666666</v>
      </c>
      <c r="AE2" s="7">
        <v>5.4606666666666674</v>
      </c>
      <c r="AF2" s="7">
        <v>0.37966666666666665</v>
      </c>
      <c r="AG2" s="7">
        <v>1.0640000000000001</v>
      </c>
      <c r="AH2" s="7">
        <v>0.65300000000000002</v>
      </c>
      <c r="AI2" s="7">
        <v>0.49</v>
      </c>
      <c r="AJ2" s="7">
        <v>0.72599999999999998</v>
      </c>
      <c r="AK2" s="7">
        <v>0.35600000000000004</v>
      </c>
      <c r="AL2" s="7">
        <v>0.251</v>
      </c>
      <c r="AM2" s="7">
        <v>4.9013333333333335</v>
      </c>
      <c r="AN2" s="7">
        <v>4.9313333333333338</v>
      </c>
      <c r="AO2" s="7">
        <v>4.2779999999999996</v>
      </c>
      <c r="AP2" s="7">
        <v>0</v>
      </c>
      <c r="AQ2" s="7">
        <v>6.6886666666666663</v>
      </c>
      <c r="AR2" s="7">
        <v>1.8353333333333335</v>
      </c>
      <c r="AS2" s="7">
        <v>1.0156666666666667</v>
      </c>
      <c r="AT2" s="7">
        <v>0.94499999999999995</v>
      </c>
      <c r="AU2" s="7">
        <v>0</v>
      </c>
      <c r="AV2" s="7">
        <v>0</v>
      </c>
      <c r="AW2" s="7">
        <v>0</v>
      </c>
      <c r="AX2" s="7">
        <v>5.0666666666666665E-2</v>
      </c>
      <c r="AY2" s="7">
        <v>8.4000000000000005E-2</v>
      </c>
      <c r="AZ2" s="7">
        <v>1.1283333333333332</v>
      </c>
      <c r="BA2" s="7">
        <v>0</v>
      </c>
      <c r="BB2" s="7">
        <v>0</v>
      </c>
      <c r="BC2" s="7">
        <v>0.69499999999999995</v>
      </c>
      <c r="BD2" s="7">
        <v>2.0646666666666667</v>
      </c>
      <c r="BE2" s="7">
        <v>3.6916666666666664</v>
      </c>
      <c r="BF2" s="7">
        <v>8.1000000000000003E-2</v>
      </c>
      <c r="BG2" s="7">
        <v>0</v>
      </c>
      <c r="BH2" s="7">
        <v>0.7546666666666666</v>
      </c>
      <c r="BI2" s="7">
        <v>3.4323333333333337</v>
      </c>
      <c r="BJ2" s="7">
        <v>0.65966666666666673</v>
      </c>
      <c r="BK2" s="7">
        <v>2.5633333333333335</v>
      </c>
      <c r="BL2" s="7">
        <v>0</v>
      </c>
      <c r="BM2" s="7">
        <v>0</v>
      </c>
      <c r="BN2" s="7">
        <v>1.4053333333333333</v>
      </c>
      <c r="BO2" s="7">
        <v>2.0556666666666668</v>
      </c>
      <c r="BP2" s="7">
        <v>0</v>
      </c>
      <c r="BQ2" s="7">
        <v>0.14166666666666666</v>
      </c>
      <c r="BR2" s="7">
        <v>4.253333333333333</v>
      </c>
      <c r="BS2" s="7">
        <v>5.7166666666666659</v>
      </c>
      <c r="BT2" s="7">
        <v>0</v>
      </c>
      <c r="BU2" s="31">
        <v>0</v>
      </c>
      <c r="BV2" s="31">
        <v>0</v>
      </c>
      <c r="BW2" s="31">
        <v>0.32659199999999999</v>
      </c>
      <c r="BX2" s="31">
        <v>0</v>
      </c>
      <c r="BY2" s="32">
        <v>0.36691200000000002</v>
      </c>
    </row>
    <row r="3" spans="1:77" x14ac:dyDescent="0.35">
      <c r="A3" s="12" t="s">
        <v>1</v>
      </c>
      <c r="B3" s="3">
        <v>0.91700000000000004</v>
      </c>
      <c r="C3" s="2">
        <v>0.27433333333333332</v>
      </c>
      <c r="D3" s="2">
        <v>0.41466666666666668</v>
      </c>
      <c r="E3" s="2">
        <v>0.15366666666666667</v>
      </c>
      <c r="F3" s="2">
        <v>0.57100000000000006</v>
      </c>
      <c r="G3" s="2">
        <v>0.51666666666666672</v>
      </c>
      <c r="H3" s="2">
        <v>0.22500000000000001</v>
      </c>
      <c r="I3" s="2">
        <v>0</v>
      </c>
      <c r="J3" s="2">
        <v>0.24333333333333332</v>
      </c>
      <c r="K3" s="2">
        <v>4.4669999999999996</v>
      </c>
      <c r="L3" s="2">
        <v>0.6263333333333333</v>
      </c>
      <c r="M3" s="2">
        <v>1.6963333333333335</v>
      </c>
      <c r="N3" s="2">
        <v>0.48633333333333334</v>
      </c>
      <c r="O3" s="2">
        <v>4.5999999999999999E-3</v>
      </c>
      <c r="P3" s="2">
        <v>0</v>
      </c>
      <c r="Q3" s="2">
        <v>0.47233333333333333</v>
      </c>
      <c r="R3" s="2">
        <v>0.109</v>
      </c>
      <c r="S3" s="2">
        <v>0.14966666666666667</v>
      </c>
      <c r="T3" s="2">
        <v>0.77033333333333331</v>
      </c>
      <c r="U3" s="2">
        <v>0.45033333333333331</v>
      </c>
      <c r="V3" s="2">
        <v>0.34466666666666668</v>
      </c>
      <c r="W3" s="2">
        <v>0.997</v>
      </c>
      <c r="X3" s="2">
        <v>2.7420000000000004</v>
      </c>
      <c r="Y3" s="2">
        <v>1.4856666666666667</v>
      </c>
      <c r="Z3" s="2">
        <v>0.9996666666666667</v>
      </c>
      <c r="AA3" s="2">
        <v>1.5</v>
      </c>
      <c r="AB3" s="2">
        <v>1.21</v>
      </c>
      <c r="AC3" s="2">
        <v>3.6286666666666663</v>
      </c>
      <c r="AD3" s="2">
        <v>0.19166666666666665</v>
      </c>
      <c r="AE3" s="2">
        <v>4.0836666666666668</v>
      </c>
      <c r="AF3" s="2">
        <v>0.17200000000000001</v>
      </c>
      <c r="AG3" s="2">
        <v>0.67633333333333334</v>
      </c>
      <c r="AH3" s="2">
        <v>0.41266666666666668</v>
      </c>
      <c r="AI3" s="2">
        <v>0.311</v>
      </c>
      <c r="AJ3" s="2">
        <v>0.51466666666666672</v>
      </c>
      <c r="AK3" s="2">
        <v>0.34866666666666668</v>
      </c>
      <c r="AL3" s="2">
        <v>0.6153333333333334</v>
      </c>
      <c r="AM3" s="2">
        <v>3.8143333333333334</v>
      </c>
      <c r="AN3" s="2">
        <v>3.7883333333333336</v>
      </c>
      <c r="AO3" s="2">
        <v>3.5630000000000002</v>
      </c>
      <c r="AP3" s="2">
        <v>0.34699999999999998</v>
      </c>
      <c r="AQ3" s="2">
        <v>0.71899999999999997</v>
      </c>
      <c r="AR3" s="2">
        <v>2.5596666666666668</v>
      </c>
      <c r="AS3" s="2">
        <v>0.44700000000000001</v>
      </c>
      <c r="AT3" s="2">
        <v>0.69766666666666666</v>
      </c>
      <c r="AU3" s="2">
        <v>0</v>
      </c>
      <c r="AV3" s="2">
        <v>0</v>
      </c>
      <c r="AW3" s="2">
        <v>0.22666666666666668</v>
      </c>
      <c r="AX3" s="2">
        <v>1.8733333333333334E-2</v>
      </c>
      <c r="AY3" s="2">
        <v>5.1999999999999998E-2</v>
      </c>
      <c r="AZ3" s="2">
        <v>1.748</v>
      </c>
      <c r="BA3" s="2">
        <v>0</v>
      </c>
      <c r="BB3" s="2">
        <v>0</v>
      </c>
      <c r="BC3" s="2">
        <v>0.53200000000000003</v>
      </c>
      <c r="BD3" s="2">
        <v>1.2849999999999999</v>
      </c>
      <c r="BE3" s="2">
        <v>2.8083333333333336</v>
      </c>
      <c r="BF3" s="2">
        <v>0</v>
      </c>
      <c r="BG3" s="2">
        <v>0</v>
      </c>
      <c r="BH3" s="2">
        <v>0.35800000000000004</v>
      </c>
      <c r="BI3" s="2">
        <v>2.464</v>
      </c>
      <c r="BJ3" s="2">
        <v>0.81566666666666665</v>
      </c>
      <c r="BK3" s="2">
        <v>2.927</v>
      </c>
      <c r="BL3" s="2">
        <v>0</v>
      </c>
      <c r="BM3" s="2">
        <v>0</v>
      </c>
      <c r="BN3" s="2">
        <v>0.88633333333333331</v>
      </c>
      <c r="BO3" s="2">
        <v>7.0493333333333332</v>
      </c>
      <c r="BP3" s="2">
        <v>0</v>
      </c>
      <c r="BQ3" s="2">
        <v>6.3333333333333332E-3</v>
      </c>
      <c r="BR3" s="2">
        <v>4.3333333333333331E-3</v>
      </c>
      <c r="BS3" s="2">
        <v>2.3623333333333334</v>
      </c>
      <c r="BT3" s="2">
        <v>0</v>
      </c>
      <c r="BU3" s="29">
        <v>0</v>
      </c>
      <c r="BV3" s="29">
        <v>0</v>
      </c>
      <c r="BW3" s="29">
        <v>7.9488000000000003E-2</v>
      </c>
      <c r="BX3" s="29">
        <v>0</v>
      </c>
      <c r="BY3" s="30">
        <v>0.17596799999999999</v>
      </c>
    </row>
    <row r="4" spans="1:77" x14ac:dyDescent="0.35">
      <c r="A4" s="12" t="s">
        <v>2</v>
      </c>
      <c r="B4" s="3">
        <v>0.68366666666666664</v>
      </c>
      <c r="C4" s="2">
        <v>0.27633333333333332</v>
      </c>
      <c r="D4" s="2">
        <v>0.27733333333333332</v>
      </c>
      <c r="E4" s="2">
        <v>0.20199999999999999</v>
      </c>
      <c r="F4" s="2">
        <v>0.3746666666666667</v>
      </c>
      <c r="G4" s="2">
        <v>0.41833333333333328</v>
      </c>
      <c r="H4" s="2">
        <v>0.17166666666666666</v>
      </c>
      <c r="I4" s="2">
        <v>0.18700000000000003</v>
      </c>
      <c r="J4" s="2">
        <v>0.24866666666666667</v>
      </c>
      <c r="K4" s="2">
        <v>3.8236666666666665</v>
      </c>
      <c r="L4" s="2">
        <v>0.56933333333333336</v>
      </c>
      <c r="M4" s="2">
        <v>1.4263333333333332</v>
      </c>
      <c r="N4" s="2">
        <v>0.36600000000000005</v>
      </c>
      <c r="O4" s="2">
        <v>0</v>
      </c>
      <c r="P4" s="2">
        <v>7.2000000000000007E-3</v>
      </c>
      <c r="Q4" s="2">
        <v>0.45</v>
      </c>
      <c r="R4" s="2">
        <v>0.15366666666666667</v>
      </c>
      <c r="S4" s="2">
        <v>0.11333333333333334</v>
      </c>
      <c r="T4" s="2">
        <v>0.89266666666666661</v>
      </c>
      <c r="U4" s="2">
        <v>0.18500000000000003</v>
      </c>
      <c r="V4" s="2">
        <v>0.38666666666666666</v>
      </c>
      <c r="W4" s="2">
        <v>0.65033333333333332</v>
      </c>
      <c r="X4" s="2">
        <v>1.5953333333333333</v>
      </c>
      <c r="Y4" s="2">
        <v>1.3399999999999999</v>
      </c>
      <c r="Z4" s="2">
        <v>0.97299999999999998</v>
      </c>
      <c r="AA4" s="2">
        <v>0.90800000000000003</v>
      </c>
      <c r="AB4" s="2">
        <v>0.82299999999999995</v>
      </c>
      <c r="AC4" s="2">
        <v>3.2143333333333337</v>
      </c>
      <c r="AD4" s="2">
        <v>0.18733333333333335</v>
      </c>
      <c r="AE4" s="2">
        <v>2.7250000000000001</v>
      </c>
      <c r="AF4" s="2">
        <v>0.11066666666666668</v>
      </c>
      <c r="AG4" s="2">
        <v>0.70533333333333337</v>
      </c>
      <c r="AH4" s="2">
        <v>0.5056666666666666</v>
      </c>
      <c r="AI4" s="2">
        <v>0.40199999999999997</v>
      </c>
      <c r="AJ4" s="2">
        <v>0.41766666666666663</v>
      </c>
      <c r="AK4" s="2">
        <v>0.29966666666666669</v>
      </c>
      <c r="AL4" s="2">
        <v>0.40500000000000003</v>
      </c>
      <c r="AM4" s="2">
        <v>3.2176666666666667</v>
      </c>
      <c r="AN4" s="2">
        <v>1.7893333333333334</v>
      </c>
      <c r="AO4" s="2">
        <v>3.0966666666666662</v>
      </c>
      <c r="AP4" s="2">
        <v>1.2966666666666666E-2</v>
      </c>
      <c r="AQ4" s="2">
        <v>0.504</v>
      </c>
      <c r="AR4" s="2">
        <v>1.9243333333333332</v>
      </c>
      <c r="AS4" s="2">
        <v>0.72866666666666668</v>
      </c>
      <c r="AT4" s="2">
        <v>0.7543333333333333</v>
      </c>
      <c r="AU4" s="2">
        <v>1.2966666666666666E-2</v>
      </c>
      <c r="AV4" s="2">
        <v>0</v>
      </c>
      <c r="AW4" s="2">
        <v>4.7333333333333331E-2</v>
      </c>
      <c r="AX4" s="2">
        <v>0</v>
      </c>
      <c r="AY4" s="2">
        <v>8.5000000000000006E-2</v>
      </c>
      <c r="AZ4" s="2">
        <v>6.1083333333333334</v>
      </c>
      <c r="BA4" s="2">
        <v>0</v>
      </c>
      <c r="BB4" s="2">
        <v>0</v>
      </c>
      <c r="BC4" s="2">
        <v>0.318</v>
      </c>
      <c r="BD4" s="2">
        <v>4.9186666666666667</v>
      </c>
      <c r="BE4" s="2">
        <v>1.7353333333333334</v>
      </c>
      <c r="BF4" s="2">
        <v>5.7666666666666665E-2</v>
      </c>
      <c r="BG4" s="2">
        <v>0</v>
      </c>
      <c r="BH4" s="2">
        <v>0.40266666666666667</v>
      </c>
      <c r="BI4" s="2">
        <v>2.4969999999999999</v>
      </c>
      <c r="BJ4" s="2">
        <v>0.34499999999999997</v>
      </c>
      <c r="BK4" s="2">
        <v>2.2733333333333334</v>
      </c>
      <c r="BL4" s="2">
        <v>5.0333333333333334E-2</v>
      </c>
      <c r="BM4" s="2">
        <v>0.31866666666666665</v>
      </c>
      <c r="BN4" s="2">
        <v>0.51766666666666661</v>
      </c>
      <c r="BO4" s="2">
        <v>0.89466666666666672</v>
      </c>
      <c r="BP4" s="2">
        <v>0</v>
      </c>
      <c r="BQ4" s="2">
        <v>0</v>
      </c>
      <c r="BR4" s="2">
        <v>1.3333333333333333E-3</v>
      </c>
      <c r="BS4" s="2">
        <v>2.4853333333333336</v>
      </c>
      <c r="BT4" s="2">
        <v>0</v>
      </c>
      <c r="BU4" s="29">
        <v>0</v>
      </c>
      <c r="BV4" s="29">
        <v>0</v>
      </c>
      <c r="BW4" s="29">
        <v>0</v>
      </c>
      <c r="BX4" s="29">
        <v>0</v>
      </c>
      <c r="BY4" s="30">
        <v>3.456E-2</v>
      </c>
    </row>
    <row r="5" spans="1:77" x14ac:dyDescent="0.35">
      <c r="A5" s="12" t="s">
        <v>3</v>
      </c>
      <c r="B5" s="3">
        <v>0.41366666666666668</v>
      </c>
      <c r="C5" s="2">
        <v>0.23200000000000001</v>
      </c>
      <c r="D5" s="2">
        <v>0.29466666666666669</v>
      </c>
      <c r="E5" s="2">
        <v>0.11533333333333333</v>
      </c>
      <c r="F5" s="2">
        <v>0.39033333333333337</v>
      </c>
      <c r="G5" s="2">
        <v>0.20866666666666667</v>
      </c>
      <c r="H5" s="2">
        <v>4.2666666666666665E-2</v>
      </c>
      <c r="I5" s="2">
        <v>6.8180000000000005</v>
      </c>
      <c r="J5" s="2">
        <v>6.8333333333333329E-2</v>
      </c>
      <c r="K5" s="2">
        <v>2.8226666666666667</v>
      </c>
      <c r="L5" s="2">
        <v>0.70800000000000007</v>
      </c>
      <c r="M5" s="2">
        <v>0.874</v>
      </c>
      <c r="N5" s="2">
        <v>1.7466666666666668</v>
      </c>
      <c r="O5" s="2">
        <v>0.16533333333333333</v>
      </c>
      <c r="P5" s="2">
        <v>0.114</v>
      </c>
      <c r="Q5" s="2">
        <v>0.42899999999999999</v>
      </c>
      <c r="R5" s="2">
        <v>0.92866666666666664</v>
      </c>
      <c r="S5" s="2">
        <v>4.9999999999999996E-2</v>
      </c>
      <c r="T5" s="2">
        <v>0.47466666666666663</v>
      </c>
      <c r="U5" s="2">
        <v>8.9190000000000005</v>
      </c>
      <c r="V5" s="2">
        <v>0.15733333333333333</v>
      </c>
      <c r="W5" s="2">
        <v>0.34600000000000003</v>
      </c>
      <c r="X5" s="2">
        <v>0.92766666666666664</v>
      </c>
      <c r="Y5" s="2">
        <v>1.1673333333333333</v>
      </c>
      <c r="Z5" s="2">
        <v>0.51766666666666661</v>
      </c>
      <c r="AA5" s="2">
        <v>3.1470000000000002</v>
      </c>
      <c r="AB5" s="2">
        <v>0.78133333333333332</v>
      </c>
      <c r="AC5" s="2">
        <v>2.5683333333333334</v>
      </c>
      <c r="AD5" s="2">
        <v>0.12433333333333334</v>
      </c>
      <c r="AE5" s="2">
        <v>1.8226666666666667</v>
      </c>
      <c r="AF5" s="2">
        <v>3.3333333333333333E-2</v>
      </c>
      <c r="AG5" s="2">
        <v>11.953333333333333</v>
      </c>
      <c r="AH5" s="2">
        <v>0.29599999999999999</v>
      </c>
      <c r="AI5" s="2">
        <v>0.313</v>
      </c>
      <c r="AJ5" s="2">
        <v>0.47633333333333333</v>
      </c>
      <c r="AK5" s="2">
        <v>0.14599999999999999</v>
      </c>
      <c r="AL5" s="2">
        <v>0.20766666666666667</v>
      </c>
      <c r="AM5" s="2">
        <v>2.1213333333333333</v>
      </c>
      <c r="AN5" s="2">
        <v>1.2169999999999999</v>
      </c>
      <c r="AO5" s="2">
        <v>2.2986666666666666</v>
      </c>
      <c r="AP5" s="2">
        <v>15.554333333333332</v>
      </c>
      <c r="AQ5" s="2">
        <v>0.14666666666666667</v>
      </c>
      <c r="AR5" s="2">
        <v>2.1403333333333334</v>
      </c>
      <c r="AS5" s="2">
        <v>0.308</v>
      </c>
      <c r="AT5" s="2">
        <v>0.70333333333333325</v>
      </c>
      <c r="AU5" s="2">
        <v>0</v>
      </c>
      <c r="AV5" s="2">
        <v>0</v>
      </c>
      <c r="AW5" s="2">
        <v>0</v>
      </c>
      <c r="AX5" s="2">
        <v>0</v>
      </c>
      <c r="AY5" s="2">
        <v>0.21066666666666667</v>
      </c>
      <c r="AZ5" s="2">
        <v>0.72933333333333339</v>
      </c>
      <c r="BA5" s="2">
        <v>0</v>
      </c>
      <c r="BB5" s="2">
        <v>0.20466666666666666</v>
      </c>
      <c r="BC5" s="2">
        <v>0.16300000000000001</v>
      </c>
      <c r="BD5" s="2">
        <v>33.145333333333333</v>
      </c>
      <c r="BE5" s="2">
        <v>0.40466666666666667</v>
      </c>
      <c r="BF5" s="2">
        <v>7.3333333333333334E-2</v>
      </c>
      <c r="BG5" s="2">
        <v>0</v>
      </c>
      <c r="BH5" s="2">
        <v>0.15566666666666668</v>
      </c>
      <c r="BI5" s="2">
        <v>0.80900000000000005</v>
      </c>
      <c r="BJ5" s="2">
        <v>42.006333333333338</v>
      </c>
      <c r="BK5" s="2">
        <v>0.92233333333333334</v>
      </c>
      <c r="BL5" s="2">
        <v>0</v>
      </c>
      <c r="BM5" s="2">
        <v>1.663</v>
      </c>
      <c r="BN5" s="2">
        <v>0.56366666666666665</v>
      </c>
      <c r="BO5" s="2">
        <v>5.4333333333333338E-2</v>
      </c>
      <c r="BP5" s="2">
        <v>0.11033333333333334</v>
      </c>
      <c r="BQ5" s="2">
        <v>0.54333333333333333</v>
      </c>
      <c r="BR5" s="2">
        <v>4.2000000000000003E-2</v>
      </c>
      <c r="BS5" s="2">
        <v>0.6153333333333334</v>
      </c>
      <c r="BT5" s="2">
        <v>0</v>
      </c>
      <c r="BU5" s="29">
        <v>0</v>
      </c>
      <c r="BV5" s="29">
        <v>0</v>
      </c>
      <c r="BW5" s="29">
        <v>0.73584000000000016</v>
      </c>
      <c r="BX5" s="29">
        <v>0</v>
      </c>
      <c r="BY5" s="30">
        <v>0</v>
      </c>
    </row>
    <row r="6" spans="1:77" x14ac:dyDescent="0.35">
      <c r="A6" s="12" t="s">
        <v>4</v>
      </c>
      <c r="B6" s="3">
        <v>0.53933333333333333</v>
      </c>
      <c r="C6" s="2">
        <v>5.9093333333333327</v>
      </c>
      <c r="D6" s="2">
        <v>0.51566666666666661</v>
      </c>
      <c r="E6" s="2">
        <v>0</v>
      </c>
      <c r="F6" s="2">
        <v>3.7483333333333331</v>
      </c>
      <c r="G6" s="2">
        <v>0.16133333333333333</v>
      </c>
      <c r="H6" s="2">
        <v>0.104</v>
      </c>
      <c r="I6" s="2">
        <v>11.409333333333334</v>
      </c>
      <c r="J6" s="2">
        <v>7.3999999999999996E-2</v>
      </c>
      <c r="K6" s="2">
        <v>2.544</v>
      </c>
      <c r="L6" s="2">
        <v>0.35499999999999998</v>
      </c>
      <c r="M6" s="2">
        <v>0.7543333333333333</v>
      </c>
      <c r="N6" s="2">
        <v>1.7523333333333333</v>
      </c>
      <c r="O6" s="2">
        <v>0.53766666666666663</v>
      </c>
      <c r="P6" s="2">
        <v>0.46566666666666667</v>
      </c>
      <c r="Q6" s="2">
        <v>1.986</v>
      </c>
      <c r="R6" s="2">
        <v>1.7983333333333331</v>
      </c>
      <c r="S6" s="2">
        <v>6.8999999999999999E-3</v>
      </c>
      <c r="T6" s="2">
        <v>1.7416666666666665</v>
      </c>
      <c r="U6" s="2">
        <v>2.6443333333333334</v>
      </c>
      <c r="V6" s="2">
        <v>6.0666666666666667E-2</v>
      </c>
      <c r="W6" s="2">
        <v>0.14066666666666666</v>
      </c>
      <c r="X6" s="2">
        <v>0.63700000000000001</v>
      </c>
      <c r="Y6" s="2">
        <v>0.76766666666666661</v>
      </c>
      <c r="Z6" s="2">
        <v>0.38866666666666666</v>
      </c>
      <c r="AA6" s="2">
        <v>1.8109999999999999</v>
      </c>
      <c r="AB6" s="2">
        <v>5.7673333333333332</v>
      </c>
      <c r="AC6" s="2">
        <v>3.0950000000000002</v>
      </c>
      <c r="AD6" s="2">
        <v>6.2E-2</v>
      </c>
      <c r="AE6" s="2">
        <v>0.95766666666666678</v>
      </c>
      <c r="AF6" s="2">
        <v>0.18466666666666667</v>
      </c>
      <c r="AG6" s="2">
        <v>12.037666666666667</v>
      </c>
      <c r="AH6" s="2">
        <v>0.3213333333333333</v>
      </c>
      <c r="AI6" s="2">
        <v>0.18300000000000002</v>
      </c>
      <c r="AJ6" s="2">
        <v>2.0703333333333336</v>
      </c>
      <c r="AK6" s="2">
        <v>0.53033333333333332</v>
      </c>
      <c r="AL6" s="2">
        <v>0.15666666666666665</v>
      </c>
      <c r="AM6" s="2">
        <v>5.6360000000000001</v>
      </c>
      <c r="AN6" s="2">
        <v>1.298</v>
      </c>
      <c r="AO6" s="2">
        <v>0.87</v>
      </c>
      <c r="AP6" s="2">
        <v>1.2433333333333334</v>
      </c>
      <c r="AQ6" s="2">
        <v>2.0433333333333335E-2</v>
      </c>
      <c r="AR6" s="2">
        <v>6.2809999999999997</v>
      </c>
      <c r="AS6" s="2">
        <v>0.36266666666666669</v>
      </c>
      <c r="AT6" s="2">
        <v>1.0783333333333334</v>
      </c>
      <c r="AU6" s="2">
        <v>0.64333333333333331</v>
      </c>
      <c r="AV6" s="2">
        <v>0</v>
      </c>
      <c r="AW6" s="2">
        <v>0.16066666666666665</v>
      </c>
      <c r="AX6" s="2">
        <v>0</v>
      </c>
      <c r="AY6" s="2">
        <v>1.1126666666666667</v>
      </c>
      <c r="AZ6" s="2">
        <v>0.72800000000000009</v>
      </c>
      <c r="BA6" s="2">
        <v>1.1000000000000001E-2</v>
      </c>
      <c r="BB6" s="2">
        <v>0</v>
      </c>
      <c r="BC6" s="2">
        <v>0.51380000000000003</v>
      </c>
      <c r="BD6" s="2">
        <v>10.727666666666666</v>
      </c>
      <c r="BE6" s="2">
        <v>0.27566666666666667</v>
      </c>
      <c r="BF6" s="2">
        <v>6.8999999999999999E-3</v>
      </c>
      <c r="BG6" s="2">
        <v>0</v>
      </c>
      <c r="BH6" s="2">
        <v>0.72599999999999998</v>
      </c>
      <c r="BI6" s="2">
        <v>0.42633333333333329</v>
      </c>
      <c r="BJ6" s="2">
        <v>7.1859999999999999</v>
      </c>
      <c r="BK6" s="2">
        <v>0.36066666666666669</v>
      </c>
      <c r="BL6" s="2">
        <v>0.84699999999999998</v>
      </c>
      <c r="BM6" s="2">
        <v>0.58333333333333337</v>
      </c>
      <c r="BN6" s="2">
        <v>0.154</v>
      </c>
      <c r="BO6" s="2">
        <v>1.5046666666666668</v>
      </c>
      <c r="BP6" s="2">
        <v>0.42899999999999999</v>
      </c>
      <c r="BQ6" s="2">
        <v>2.198</v>
      </c>
      <c r="BR6" s="2">
        <v>3.6999999999999998E-2</v>
      </c>
      <c r="BS6" s="2">
        <v>8.7000000000000008E-2</v>
      </c>
      <c r="BT6" s="2">
        <v>0</v>
      </c>
      <c r="BU6" s="29">
        <v>0</v>
      </c>
      <c r="BV6" s="29">
        <v>0</v>
      </c>
      <c r="BW6" s="29">
        <v>0.29030400000000001</v>
      </c>
      <c r="BX6" s="29">
        <v>0</v>
      </c>
      <c r="BY6" s="30">
        <v>0</v>
      </c>
    </row>
    <row r="7" spans="1:77" x14ac:dyDescent="0.35">
      <c r="A7" s="12" t="s">
        <v>5</v>
      </c>
      <c r="B7" s="3">
        <v>0.70499999999999996</v>
      </c>
      <c r="C7" s="2">
        <v>2.3570000000000002</v>
      </c>
      <c r="D7" s="2">
        <v>7.0000000000000007E-2</v>
      </c>
      <c r="E7" s="2">
        <v>0</v>
      </c>
      <c r="F7" s="2">
        <v>4.6463333333333336</v>
      </c>
      <c r="G7" s="2">
        <v>9.7333333333333327E-2</v>
      </c>
      <c r="H7" s="2">
        <v>0</v>
      </c>
      <c r="I7" s="2">
        <v>1.2443333333333333</v>
      </c>
      <c r="J7" s="2">
        <v>0.63900000000000001</v>
      </c>
      <c r="K7" s="2">
        <v>1.909</v>
      </c>
      <c r="L7" s="2">
        <v>0.159</v>
      </c>
      <c r="M7" s="2">
        <v>37.959666666666671</v>
      </c>
      <c r="N7" s="2">
        <v>0.70800000000000007</v>
      </c>
      <c r="O7" s="2">
        <v>0.32700000000000001</v>
      </c>
      <c r="P7" s="2">
        <v>6.8999999999999992E-2</v>
      </c>
      <c r="Q7" s="2">
        <v>0.33266666666666667</v>
      </c>
      <c r="R7" s="2">
        <v>0.44933333333333336</v>
      </c>
      <c r="S7" s="2">
        <v>0</v>
      </c>
      <c r="T7" s="2">
        <v>0.38700000000000001</v>
      </c>
      <c r="U7" s="2">
        <v>1.0853333333333333</v>
      </c>
      <c r="V7" s="2">
        <v>0.16066666666666665</v>
      </c>
      <c r="W7" s="2">
        <v>1.9343333333333332</v>
      </c>
      <c r="X7" s="2">
        <v>0.97566666666666668</v>
      </c>
      <c r="Y7" s="2">
        <v>0.25533333333333336</v>
      </c>
      <c r="Z7" s="2">
        <v>9.2000000000000012E-2</v>
      </c>
      <c r="AA7" s="2">
        <v>0.86266666666666669</v>
      </c>
      <c r="AB7" s="2">
        <v>1.3390000000000002</v>
      </c>
      <c r="AC7" s="2">
        <v>1.7086666666666668</v>
      </c>
      <c r="AD7" s="2">
        <v>0.61099999999999999</v>
      </c>
      <c r="AE7" s="2">
        <v>5.2480000000000002</v>
      </c>
      <c r="AF7" s="2">
        <v>1.4966666666666668E-2</v>
      </c>
      <c r="AG7" s="2">
        <v>4.9983333333333331</v>
      </c>
      <c r="AH7" s="2">
        <v>0.27799999999999997</v>
      </c>
      <c r="AI7" s="2">
        <v>6.7000000000000004E-2</v>
      </c>
      <c r="AJ7" s="2">
        <v>0.17433333333333334</v>
      </c>
      <c r="AK7" s="2">
        <v>0.25733333333333336</v>
      </c>
      <c r="AL7" s="2">
        <v>7.79</v>
      </c>
      <c r="AM7" s="2">
        <v>42.408000000000001</v>
      </c>
      <c r="AN7" s="2">
        <v>0.49399999999999999</v>
      </c>
      <c r="AO7" s="2">
        <v>0.18033333333333335</v>
      </c>
      <c r="AP7" s="2">
        <v>0.35299999999999998</v>
      </c>
      <c r="AQ7" s="2">
        <v>0.11499999999999999</v>
      </c>
      <c r="AR7" s="2">
        <v>7.9420000000000002</v>
      </c>
      <c r="AS7" s="2">
        <v>8.8439999999999994</v>
      </c>
      <c r="AT7" s="2">
        <v>0.64733333333333332</v>
      </c>
      <c r="AU7" s="2">
        <v>0</v>
      </c>
      <c r="AV7" s="2">
        <v>8.0666666666666664E-3</v>
      </c>
      <c r="AW7" s="2">
        <v>0.70433333333333337</v>
      </c>
      <c r="AX7" s="2">
        <v>0</v>
      </c>
      <c r="AY7" s="2">
        <v>14.908666666666667</v>
      </c>
      <c r="AZ7" s="2">
        <v>0.82699999999999996</v>
      </c>
      <c r="BA7" s="2">
        <v>2.3333333333333334E-2</v>
      </c>
      <c r="BB7" s="2">
        <v>5.4666666666666674E-3</v>
      </c>
      <c r="BC7" s="2">
        <v>2.4066666666666667</v>
      </c>
      <c r="BD7" s="2">
        <v>3.5106666666666668</v>
      </c>
      <c r="BE7" s="2">
        <v>0.48</v>
      </c>
      <c r="BF7" s="2">
        <v>0</v>
      </c>
      <c r="BG7" s="2">
        <v>4.1666666666666664E-2</v>
      </c>
      <c r="BH7" s="2">
        <v>1.3533333333333333E-2</v>
      </c>
      <c r="BI7" s="2">
        <v>0.13666666666666666</v>
      </c>
      <c r="BJ7" s="2">
        <v>6.9536666666666669</v>
      </c>
      <c r="BK7" s="2">
        <v>0.10233333333333333</v>
      </c>
      <c r="BL7" s="2">
        <v>0</v>
      </c>
      <c r="BM7" s="2">
        <v>1.4886666666666668</v>
      </c>
      <c r="BN7" s="2">
        <v>1.7896666666666665</v>
      </c>
      <c r="BO7" s="2">
        <v>0.7596666666666666</v>
      </c>
      <c r="BP7" s="2">
        <v>0.16</v>
      </c>
      <c r="BQ7" s="2">
        <v>8.7666666666666671E-2</v>
      </c>
      <c r="BR7" s="2">
        <v>0</v>
      </c>
      <c r="BS7" s="2">
        <v>6.7333333333333342E-2</v>
      </c>
      <c r="BT7" s="2">
        <v>0</v>
      </c>
      <c r="BU7" s="29">
        <v>6.4799999999999996E-2</v>
      </c>
      <c r="BV7" s="29">
        <v>0</v>
      </c>
      <c r="BW7" s="29">
        <v>0</v>
      </c>
      <c r="BX7" s="29">
        <v>0</v>
      </c>
      <c r="BY7" s="30">
        <v>0.13305600000000001</v>
      </c>
    </row>
    <row r="8" spans="1:77" x14ac:dyDescent="0.35">
      <c r="A8" s="12" t="s">
        <v>6</v>
      </c>
      <c r="B8" s="3">
        <v>0.48966666666666669</v>
      </c>
      <c r="C8" s="2">
        <v>2.5896666666666666</v>
      </c>
      <c r="D8" s="2">
        <v>0</v>
      </c>
      <c r="E8" s="2">
        <v>0</v>
      </c>
      <c r="F8" s="2">
        <v>2.9483333333333337</v>
      </c>
      <c r="G8" s="2">
        <v>1.1999999999999999E-2</v>
      </c>
      <c r="H8" s="2">
        <v>0</v>
      </c>
      <c r="I8" s="2">
        <v>0.10299999999999999</v>
      </c>
      <c r="J8" s="2">
        <v>0.10633333333333334</v>
      </c>
      <c r="K8" s="2">
        <v>1.6783333333333335</v>
      </c>
      <c r="L8" s="2">
        <v>0.16666666666666666</v>
      </c>
      <c r="M8" s="2">
        <v>6.1070000000000002</v>
      </c>
      <c r="N8" s="2">
        <v>0.24399999999999999</v>
      </c>
      <c r="O8" s="2">
        <v>0</v>
      </c>
      <c r="P8" s="2">
        <v>5.1999999999999998E-2</v>
      </c>
      <c r="Q8" s="2">
        <v>0.12266666666666666</v>
      </c>
      <c r="R8" s="2">
        <v>0.108</v>
      </c>
      <c r="S8" s="2">
        <v>0</v>
      </c>
      <c r="T8" s="2">
        <v>11.674666666666667</v>
      </c>
      <c r="U8" s="2">
        <v>0.55100000000000005</v>
      </c>
      <c r="V8" s="2">
        <v>0.37766666666666665</v>
      </c>
      <c r="W8" s="2">
        <v>5.182666666666667</v>
      </c>
      <c r="X8" s="2">
        <v>2.6853333333333329</v>
      </c>
      <c r="Y8" s="2">
        <v>0.83733333333333337</v>
      </c>
      <c r="Z8" s="2">
        <v>0</v>
      </c>
      <c r="AA8" s="2">
        <v>86.992999999999995</v>
      </c>
      <c r="AB8" s="2">
        <v>186.93200000000002</v>
      </c>
      <c r="AC8" s="2">
        <v>1.2703333333333333</v>
      </c>
      <c r="AD8" s="2">
        <v>0.22900000000000001</v>
      </c>
      <c r="AE8" s="2">
        <v>2.7289999999999996</v>
      </c>
      <c r="AF8" s="2">
        <v>9.4999999999999998E-3</v>
      </c>
      <c r="AG8" s="2">
        <v>2.8546666666666667</v>
      </c>
      <c r="AH8" s="2">
        <v>0.22433333333333336</v>
      </c>
      <c r="AI8" s="2">
        <v>0</v>
      </c>
      <c r="AJ8" s="2">
        <v>0.11766666666666666</v>
      </c>
      <c r="AK8" s="2">
        <v>0.19599999999999998</v>
      </c>
      <c r="AL8" s="2">
        <v>4.7649999999999997</v>
      </c>
      <c r="AM8" s="2">
        <v>37.903666666666666</v>
      </c>
      <c r="AN8" s="2">
        <v>2.6693333333333329</v>
      </c>
      <c r="AO8" s="2">
        <v>4.9666666666666665E-2</v>
      </c>
      <c r="AP8" s="2">
        <v>13.124666666666668</v>
      </c>
      <c r="AQ8" s="2">
        <v>0.38633333333333336</v>
      </c>
      <c r="AR8" s="2">
        <v>24.269333333333336</v>
      </c>
      <c r="AS8" s="2">
        <v>3.5749999999999997</v>
      </c>
      <c r="AT8" s="2">
        <v>1.0386666666666666</v>
      </c>
      <c r="AU8" s="2">
        <v>0</v>
      </c>
      <c r="AV8" s="2">
        <v>0</v>
      </c>
      <c r="AW8" s="2">
        <v>0</v>
      </c>
      <c r="AX8" s="2">
        <v>0.91299999999999992</v>
      </c>
      <c r="AY8" s="2">
        <v>10.559666666666667</v>
      </c>
      <c r="AZ8" s="2">
        <v>1.0486666666666666</v>
      </c>
      <c r="BA8" s="2">
        <v>4.1333333333333333E-2</v>
      </c>
      <c r="BB8" s="2">
        <v>2.1286666666666667</v>
      </c>
      <c r="BC8" s="2">
        <v>3.3733333333333331</v>
      </c>
      <c r="BD8" s="2">
        <v>2.5923333333333334</v>
      </c>
      <c r="BE8" s="2">
        <v>0.22833333333333336</v>
      </c>
      <c r="BF8" s="2">
        <v>0</v>
      </c>
      <c r="BG8" s="2">
        <v>4.609</v>
      </c>
      <c r="BH8" s="2">
        <v>0</v>
      </c>
      <c r="BI8" s="2">
        <v>0.16533333333333333</v>
      </c>
      <c r="BJ8" s="2">
        <v>268.24633333333333</v>
      </c>
      <c r="BK8" s="2">
        <v>0.54700000000000004</v>
      </c>
      <c r="BL8" s="2">
        <v>0</v>
      </c>
      <c r="BM8" s="2">
        <v>0</v>
      </c>
      <c r="BN8" s="2">
        <v>1.103</v>
      </c>
      <c r="BO8" s="2">
        <v>0</v>
      </c>
      <c r="BP8" s="2">
        <v>0.35666666666666669</v>
      </c>
      <c r="BQ8" s="2">
        <v>1.3233333333333333E-2</v>
      </c>
      <c r="BR8" s="2">
        <v>1.4999999999999999E-2</v>
      </c>
      <c r="BS8" s="2">
        <v>0.31266666666666665</v>
      </c>
      <c r="BT8" s="2">
        <v>0</v>
      </c>
      <c r="BU8" s="29">
        <v>0.12556799999999999</v>
      </c>
      <c r="BV8" s="29">
        <v>0</v>
      </c>
      <c r="BW8" s="29">
        <v>1.2384000000000001E-2</v>
      </c>
      <c r="BX8" s="29">
        <v>0</v>
      </c>
      <c r="BY8" s="30">
        <v>1.4472</v>
      </c>
    </row>
    <row r="9" spans="1:77" x14ac:dyDescent="0.35">
      <c r="A9" s="12" t="s">
        <v>7</v>
      </c>
      <c r="B9" s="3">
        <v>0.51900000000000002</v>
      </c>
      <c r="C9" s="2">
        <v>1.607</v>
      </c>
      <c r="D9" s="2">
        <v>0</v>
      </c>
      <c r="E9" s="2">
        <v>0.63</v>
      </c>
      <c r="F9" s="2">
        <v>1.6910000000000001</v>
      </c>
      <c r="G9" s="2">
        <v>0.63566666666666671</v>
      </c>
      <c r="H9" s="2">
        <v>0</v>
      </c>
      <c r="I9" s="2">
        <v>0</v>
      </c>
      <c r="J9" s="2">
        <v>7.5333333333333335E-2</v>
      </c>
      <c r="K9" s="2">
        <v>2.9193333333333329</v>
      </c>
      <c r="L9" s="2">
        <v>0.35033333333333333</v>
      </c>
      <c r="M9" s="2">
        <v>4.6023333333333332</v>
      </c>
      <c r="N9" s="2">
        <v>9.3333333333333338E-2</v>
      </c>
      <c r="O9" s="2">
        <v>0</v>
      </c>
      <c r="P9" s="2">
        <v>0</v>
      </c>
      <c r="Q9" s="2">
        <v>0.8696666666666667</v>
      </c>
      <c r="R9" s="2">
        <v>3.1400000000000004E-2</v>
      </c>
      <c r="S9" s="2">
        <v>1.0666666666666666E-2</v>
      </c>
      <c r="T9" s="2">
        <v>1.806</v>
      </c>
      <c r="U9" s="2">
        <v>4.7573333333333334</v>
      </c>
      <c r="V9" s="2">
        <v>0.77666666666666673</v>
      </c>
      <c r="W9" s="2">
        <v>36.600333333333332</v>
      </c>
      <c r="X9" s="2">
        <v>11.44</v>
      </c>
      <c r="Y9" s="2">
        <v>0.49066666666666664</v>
      </c>
      <c r="Z9" s="2">
        <v>1.47E-2</v>
      </c>
      <c r="AA9" s="2">
        <v>8.9863333333333326</v>
      </c>
      <c r="AB9" s="2">
        <v>18.794999999999998</v>
      </c>
      <c r="AC9" s="2">
        <v>0.89500000000000002</v>
      </c>
      <c r="AD9" s="2">
        <v>0.61499999999999999</v>
      </c>
      <c r="AE9" s="2">
        <v>1.7619999999999998</v>
      </c>
      <c r="AF9" s="2">
        <v>19.686</v>
      </c>
      <c r="AG9" s="2">
        <v>1.2966666666666666</v>
      </c>
      <c r="AH9" s="2">
        <v>0.17233333333333334</v>
      </c>
      <c r="AI9" s="2">
        <v>0</v>
      </c>
      <c r="AJ9" s="2">
        <v>3.5999999999999997E-2</v>
      </c>
      <c r="AK9" s="2">
        <v>6.633333333333334E-3</v>
      </c>
      <c r="AL9" s="2">
        <v>1.2866666666666666</v>
      </c>
      <c r="AM9" s="2">
        <v>10.625</v>
      </c>
      <c r="AN9" s="2">
        <v>8.5063333333333322</v>
      </c>
      <c r="AO9" s="2">
        <v>0.21333333333333335</v>
      </c>
      <c r="AP9" s="2">
        <v>2.6019999999999999</v>
      </c>
      <c r="AQ9" s="2">
        <v>0</v>
      </c>
      <c r="AR9" s="2">
        <v>7.8093333333333339</v>
      </c>
      <c r="AS9" s="2">
        <v>2.1579999999999999</v>
      </c>
      <c r="AT9" s="2">
        <v>0</v>
      </c>
      <c r="AU9" s="2">
        <v>0</v>
      </c>
      <c r="AV9" s="2">
        <v>0.38866666666666666</v>
      </c>
      <c r="AW9" s="2">
        <v>0</v>
      </c>
      <c r="AX9" s="2">
        <v>13.122</v>
      </c>
      <c r="AY9" s="2">
        <v>12.018333333333333</v>
      </c>
      <c r="AZ9" s="2">
        <v>0.505</v>
      </c>
      <c r="BA9" s="2">
        <v>1.2333333333333333E-2</v>
      </c>
      <c r="BB9" s="2">
        <v>2.3599999999999999E-2</v>
      </c>
      <c r="BC9" s="2">
        <v>1.8583333333333334</v>
      </c>
      <c r="BD9" s="2">
        <v>4.2210000000000001</v>
      </c>
      <c r="BE9" s="2">
        <v>0.25866666666666666</v>
      </c>
      <c r="BF9" s="2">
        <v>0</v>
      </c>
      <c r="BG9" s="2">
        <v>5.2213333333333329</v>
      </c>
      <c r="BH9" s="2">
        <v>17.311666666666667</v>
      </c>
      <c r="BI9" s="2">
        <v>6.6000000000000003E-2</v>
      </c>
      <c r="BJ9" s="2">
        <v>14.791666666666666</v>
      </c>
      <c r="BK9" s="2">
        <v>0.40733333333333333</v>
      </c>
      <c r="BL9" s="2">
        <v>0</v>
      </c>
      <c r="BM9" s="2">
        <v>0</v>
      </c>
      <c r="BN9" s="2">
        <v>4.5666666666666668E-2</v>
      </c>
      <c r="BO9" s="2">
        <v>6.2333333333333331E-2</v>
      </c>
      <c r="BP9" s="2">
        <v>1.1393333333333333</v>
      </c>
      <c r="BQ9" s="2">
        <v>1.0933333333333335E-2</v>
      </c>
      <c r="BR9" s="2">
        <v>0</v>
      </c>
      <c r="BS9" s="2">
        <v>0.53800000000000003</v>
      </c>
      <c r="BT9" s="2">
        <v>0</v>
      </c>
      <c r="BU9" s="29">
        <v>1.152E-3</v>
      </c>
      <c r="BV9" s="29">
        <v>1.9342080000000004</v>
      </c>
      <c r="BW9" s="29">
        <v>0.13103999999999999</v>
      </c>
      <c r="BX9" s="29">
        <v>0</v>
      </c>
      <c r="BY9" s="30">
        <v>0</v>
      </c>
    </row>
    <row r="10" spans="1:77" x14ac:dyDescent="0.35">
      <c r="A10" s="12" t="s">
        <v>8</v>
      </c>
      <c r="B10" s="3">
        <v>0.43533333333333329</v>
      </c>
      <c r="C10" s="2">
        <v>1.0556666666666668</v>
      </c>
      <c r="D10" s="2">
        <v>0</v>
      </c>
      <c r="E10" s="2">
        <v>13.970333333333334</v>
      </c>
      <c r="F10" s="2">
        <v>0.96299999999999997</v>
      </c>
      <c r="G10" s="2">
        <v>7.9000000000000001E-2</v>
      </c>
      <c r="H10" s="2">
        <v>4.3666666666666666E-2</v>
      </c>
      <c r="I10" s="2">
        <v>0</v>
      </c>
      <c r="J10" s="2">
        <v>81.538666666666671</v>
      </c>
      <c r="K10" s="2">
        <v>2.4359999999999999</v>
      </c>
      <c r="L10" s="2">
        <v>0.48799999999999999</v>
      </c>
      <c r="M10" s="2">
        <v>3.6236666666666668</v>
      </c>
      <c r="N10" s="2">
        <v>0</v>
      </c>
      <c r="O10" s="2">
        <v>0</v>
      </c>
      <c r="P10" s="2">
        <v>17.410999999999998</v>
      </c>
      <c r="Q10" s="2">
        <v>0</v>
      </c>
      <c r="R10" s="2">
        <v>0.438</v>
      </c>
      <c r="S10" s="2">
        <v>16.559999999999999</v>
      </c>
      <c r="T10" s="2">
        <v>1.4886666666666668</v>
      </c>
      <c r="U10" s="2">
        <v>1.0193333333333332</v>
      </c>
      <c r="V10" s="2">
        <v>11.671333333333335</v>
      </c>
      <c r="W10" s="2">
        <v>9.3343333333333334</v>
      </c>
      <c r="X10" s="2">
        <v>6.1236666666666659</v>
      </c>
      <c r="Y10" s="2">
        <v>0.50466666666666671</v>
      </c>
      <c r="Z10" s="2">
        <v>19.762666666666664</v>
      </c>
      <c r="AA10" s="2">
        <v>5.2236666666666665</v>
      </c>
      <c r="AB10" s="2">
        <v>10.584</v>
      </c>
      <c r="AC10" s="2">
        <v>0.6226666666666667</v>
      </c>
      <c r="AD10" s="2">
        <v>11.404000000000002</v>
      </c>
      <c r="AE10" s="2">
        <v>1.4186666666666667</v>
      </c>
      <c r="AF10" s="2">
        <v>14.821333333333333</v>
      </c>
      <c r="AG10" s="2">
        <v>1.323</v>
      </c>
      <c r="AH10" s="2">
        <v>0.58799999999999997</v>
      </c>
      <c r="AI10" s="2">
        <v>2.1946666666666665</v>
      </c>
      <c r="AJ10" s="2">
        <v>1.4400000000000001E-2</v>
      </c>
      <c r="AK10" s="2">
        <v>1.8046666666666666</v>
      </c>
      <c r="AL10" s="2">
        <v>17.328666666666667</v>
      </c>
      <c r="AM10" s="2">
        <v>18.214000000000002</v>
      </c>
      <c r="AN10" s="2">
        <v>21.725333333333335</v>
      </c>
      <c r="AO10" s="2">
        <v>0</v>
      </c>
      <c r="AP10" s="2">
        <v>19.597999999999999</v>
      </c>
      <c r="AQ10" s="2">
        <v>7.1733333333333329</v>
      </c>
      <c r="AR10" s="2">
        <v>4.952</v>
      </c>
      <c r="AS10" s="2">
        <v>3.532</v>
      </c>
      <c r="AT10" s="2">
        <v>0.93800000000000006</v>
      </c>
      <c r="AU10" s="2">
        <v>0.74333333333333329</v>
      </c>
      <c r="AV10" s="2">
        <v>0.20699999999999999</v>
      </c>
      <c r="AW10" s="2">
        <v>0</v>
      </c>
      <c r="AX10" s="2">
        <v>0.24433333333333332</v>
      </c>
      <c r="AY10" s="2">
        <v>6.3129999999999997</v>
      </c>
      <c r="AZ10" s="2">
        <v>0.63900000000000001</v>
      </c>
      <c r="BA10" s="2">
        <v>2.5813333333333333</v>
      </c>
      <c r="BB10" s="2">
        <v>0.21166666666666667</v>
      </c>
      <c r="BC10" s="2">
        <v>2.3963333333333332</v>
      </c>
      <c r="BD10" s="2">
        <v>4.1630000000000003</v>
      </c>
      <c r="BE10" s="2">
        <v>0.27899999999999997</v>
      </c>
      <c r="BF10" s="2">
        <v>0.88533333333333342</v>
      </c>
      <c r="BG10" s="2">
        <v>7.1209999999999996</v>
      </c>
      <c r="BH10" s="2">
        <v>30.623000000000001</v>
      </c>
      <c r="BI10" s="2">
        <v>0.76966666666666672</v>
      </c>
      <c r="BJ10" s="2">
        <v>9.2976666666666663</v>
      </c>
      <c r="BK10" s="2">
        <v>1.1533333333333333E-3</v>
      </c>
      <c r="BL10" s="2">
        <v>1.2929999999999999</v>
      </c>
      <c r="BM10" s="2">
        <v>11.038666666666666</v>
      </c>
      <c r="BN10" s="2">
        <v>0</v>
      </c>
      <c r="BO10" s="2">
        <v>0.81800000000000006</v>
      </c>
      <c r="BP10" s="2">
        <v>6.3503333333333325</v>
      </c>
      <c r="BQ10" s="2">
        <v>36.535666666666664</v>
      </c>
      <c r="BR10" s="2">
        <v>37.356333333333332</v>
      </c>
      <c r="BS10" s="2">
        <v>0</v>
      </c>
      <c r="BT10" s="2">
        <v>0</v>
      </c>
      <c r="BU10" s="29">
        <v>0</v>
      </c>
      <c r="BV10" s="29">
        <v>2.6657279999999997</v>
      </c>
      <c r="BW10" s="29">
        <v>1.5552E-2</v>
      </c>
      <c r="BX10" s="29">
        <v>3.0240000000000003E-2</v>
      </c>
      <c r="BY10" s="30">
        <v>0</v>
      </c>
    </row>
    <row r="11" spans="1:77" x14ac:dyDescent="0.35">
      <c r="A11" s="12" t="s">
        <v>9</v>
      </c>
      <c r="B11" s="3">
        <v>0.57599999999999996</v>
      </c>
      <c r="C11" s="2">
        <v>0.94266666666666665</v>
      </c>
      <c r="D11" s="2">
        <v>0</v>
      </c>
      <c r="E11" s="2">
        <v>2.6396666666666664</v>
      </c>
      <c r="F11" s="2">
        <v>1.2316666666666667</v>
      </c>
      <c r="G11" s="2">
        <v>0.23466666666666666</v>
      </c>
      <c r="H11" s="2">
        <v>0</v>
      </c>
      <c r="I11" s="2">
        <v>5.0666666666666665E-2</v>
      </c>
      <c r="J11" s="2">
        <v>41.080333333333336</v>
      </c>
      <c r="K11" s="2">
        <v>2.4546666666666668</v>
      </c>
      <c r="L11" s="2">
        <v>4.8040000000000003</v>
      </c>
      <c r="M11" s="2">
        <v>3.2546666666666666</v>
      </c>
      <c r="N11" s="2">
        <v>0</v>
      </c>
      <c r="O11" s="2">
        <v>0.48599999999999999</v>
      </c>
      <c r="P11" s="2">
        <v>4.7030000000000003</v>
      </c>
      <c r="Q11" s="2">
        <v>0</v>
      </c>
      <c r="R11" s="2">
        <v>0.34400000000000003</v>
      </c>
      <c r="S11" s="2">
        <v>4.0230000000000006</v>
      </c>
      <c r="T11" s="2">
        <v>2.1526666666666667</v>
      </c>
      <c r="U11" s="2">
        <v>1.1903333333333335</v>
      </c>
      <c r="V11" s="2">
        <v>9.1043333333333329</v>
      </c>
      <c r="W11" s="2">
        <v>19.869</v>
      </c>
      <c r="X11" s="2">
        <v>4.2253333333333334</v>
      </c>
      <c r="Y11" s="2">
        <v>21.827666666666669</v>
      </c>
      <c r="Z11" s="2">
        <v>7.1829999999999998</v>
      </c>
      <c r="AA11" s="2">
        <v>4.2023333333333328</v>
      </c>
      <c r="AB11" s="2">
        <v>8.6423333333333332</v>
      </c>
      <c r="AC11" s="2">
        <v>0.72299999999999998</v>
      </c>
      <c r="AD11" s="2">
        <v>7.1630000000000003</v>
      </c>
      <c r="AE11" s="2">
        <v>0.6166666666666667</v>
      </c>
      <c r="AF11" s="2">
        <v>9.5</v>
      </c>
      <c r="AG11" s="2">
        <v>1.3516666666666666</v>
      </c>
      <c r="AH11" s="2">
        <v>0.3056666666666667</v>
      </c>
      <c r="AI11" s="2">
        <v>2.1906666666666665</v>
      </c>
      <c r="AJ11" s="2">
        <v>7.0720000000000001</v>
      </c>
      <c r="AK11" s="2">
        <v>3.2893333333333334</v>
      </c>
      <c r="AL11" s="2">
        <v>16.920999999999999</v>
      </c>
      <c r="AM11" s="2">
        <v>8.5856666666666666</v>
      </c>
      <c r="AN11" s="2">
        <v>9.4576666666666664</v>
      </c>
      <c r="AO11" s="2">
        <v>0.4976666666666667</v>
      </c>
      <c r="AP11" s="2">
        <v>26.821333333333332</v>
      </c>
      <c r="AQ11" s="2">
        <v>5.7610000000000001</v>
      </c>
      <c r="AR11" s="2">
        <v>2.0463333333333336</v>
      </c>
      <c r="AS11" s="2">
        <v>1.9703333333333333</v>
      </c>
      <c r="AT11" s="2">
        <v>0</v>
      </c>
      <c r="AU11" s="2">
        <v>4.9333333333333333E-2</v>
      </c>
      <c r="AV11" s="2">
        <v>0.159</v>
      </c>
      <c r="AW11" s="2">
        <v>0</v>
      </c>
      <c r="AX11" s="2">
        <v>8.3333333333333332E-3</v>
      </c>
      <c r="AY11" s="2">
        <v>2.6059999999999999</v>
      </c>
      <c r="AZ11" s="2">
        <v>5.3666666666666668E-2</v>
      </c>
      <c r="BA11" s="2">
        <v>0.21566666666666667</v>
      </c>
      <c r="BB11" s="2">
        <v>27.924333333333333</v>
      </c>
      <c r="BC11" s="2">
        <v>5.45</v>
      </c>
      <c r="BD11" s="2">
        <v>7.3783333333333339</v>
      </c>
      <c r="BE11" s="2">
        <v>28.106333333333335</v>
      </c>
      <c r="BF11" s="2">
        <v>3.1666666666666666E-3</v>
      </c>
      <c r="BG11" s="2">
        <v>3.8759999999999999</v>
      </c>
      <c r="BH11" s="2">
        <v>6.7523333333333335</v>
      </c>
      <c r="BI11" s="2">
        <v>3.6999999999999998E-2</v>
      </c>
      <c r="BJ11" s="2">
        <v>9.7803333333333331</v>
      </c>
      <c r="BK11" s="2">
        <v>0</v>
      </c>
      <c r="BL11" s="2">
        <v>0</v>
      </c>
      <c r="BM11" s="2">
        <v>4.8903333333333334</v>
      </c>
      <c r="BN11" s="2">
        <v>0</v>
      </c>
      <c r="BO11" s="2">
        <v>7.0539999999999994</v>
      </c>
      <c r="BP11" s="2">
        <v>5.3036666666666665</v>
      </c>
      <c r="BQ11" s="2">
        <v>30.617999999999999</v>
      </c>
      <c r="BR11" s="2">
        <v>15.421999999999999</v>
      </c>
      <c r="BS11" s="2">
        <v>1.1533333333333333E-2</v>
      </c>
      <c r="BT11" s="2">
        <v>0</v>
      </c>
      <c r="BU11" s="29">
        <v>1.4400000000000001E-3</v>
      </c>
      <c r="BV11" s="29">
        <v>0.47116800000000009</v>
      </c>
      <c r="BW11" s="29">
        <v>0</v>
      </c>
      <c r="BX11" s="29">
        <v>0</v>
      </c>
      <c r="BY11" s="46">
        <v>0</v>
      </c>
    </row>
    <row r="12" spans="1:77" x14ac:dyDescent="0.35">
      <c r="A12" s="12" t="s">
        <v>10</v>
      </c>
      <c r="B12" s="3">
        <v>0.60766666666666658</v>
      </c>
      <c r="C12" s="2">
        <v>0.98366666666666658</v>
      </c>
      <c r="D12" s="2">
        <v>0</v>
      </c>
      <c r="E12" s="2">
        <v>1.7226666666666668</v>
      </c>
      <c r="F12" s="2">
        <v>1.4690000000000001</v>
      </c>
      <c r="G12" s="2">
        <v>0.30533333333333335</v>
      </c>
      <c r="H12" s="2">
        <v>0</v>
      </c>
      <c r="I12" s="2">
        <v>0.17466666666666666</v>
      </c>
      <c r="J12" s="2">
        <v>17.945333333333334</v>
      </c>
      <c r="K12" s="2">
        <v>1.8756666666666666</v>
      </c>
      <c r="L12" s="2">
        <v>2.3986666666666667</v>
      </c>
      <c r="M12" s="2">
        <v>3.1389999999999998</v>
      </c>
      <c r="N12" s="2">
        <v>4.7666666666666663E-2</v>
      </c>
      <c r="O12" s="2">
        <v>3.4666666666666665E-2</v>
      </c>
      <c r="P12" s="2">
        <v>2.5273333333333334</v>
      </c>
      <c r="Q12" s="2">
        <v>0</v>
      </c>
      <c r="R12" s="2">
        <v>0.32</v>
      </c>
      <c r="S12" s="2">
        <v>2.2116666666666664</v>
      </c>
      <c r="T12" s="2">
        <v>0.85033333333333339</v>
      </c>
      <c r="U12" s="2">
        <v>1.0103333333333333</v>
      </c>
      <c r="V12" s="2">
        <v>2.7133333333333334</v>
      </c>
      <c r="W12" s="2">
        <v>7.9229999999999992</v>
      </c>
      <c r="X12" s="2">
        <v>3.1543333333333332</v>
      </c>
      <c r="Y12" s="2">
        <v>4.2263333333333337</v>
      </c>
      <c r="Z12" s="2">
        <v>3.9863333333333331</v>
      </c>
      <c r="AA12" s="2">
        <v>3.1223333333333336</v>
      </c>
      <c r="AB12" s="2">
        <v>6.9563333333333333</v>
      </c>
      <c r="AC12" s="2">
        <v>0.69366666666666665</v>
      </c>
      <c r="AD12" s="2">
        <v>34.544000000000004</v>
      </c>
      <c r="AE12" s="2">
        <v>0.75666666666666671</v>
      </c>
      <c r="AF12" s="2">
        <v>2.3733333333333335</v>
      </c>
      <c r="AG12" s="2">
        <v>1.1813333333333333</v>
      </c>
      <c r="AH12" s="2">
        <v>0.25733333333333336</v>
      </c>
      <c r="AI12" s="2">
        <v>2.8536666666666668</v>
      </c>
      <c r="AJ12" s="2">
        <v>0.255</v>
      </c>
      <c r="AK12" s="2">
        <v>2.1726666666666667</v>
      </c>
      <c r="AL12" s="2">
        <v>10.256333333333332</v>
      </c>
      <c r="AM12" s="2">
        <v>6.4933333333333332</v>
      </c>
      <c r="AN12" s="2">
        <v>6.3533333333333326</v>
      </c>
      <c r="AO12" s="2">
        <v>0</v>
      </c>
      <c r="AP12" s="2">
        <v>10.848999999999998</v>
      </c>
      <c r="AQ12" s="2">
        <v>2.9013333333333335</v>
      </c>
      <c r="AR12" s="2">
        <v>3.2616666666666667</v>
      </c>
      <c r="AS12" s="2">
        <v>1.5656666666666668</v>
      </c>
      <c r="AT12" s="2">
        <v>0</v>
      </c>
      <c r="AU12" s="2">
        <v>0.13866666666666666</v>
      </c>
      <c r="AV12" s="2">
        <v>0</v>
      </c>
      <c r="AW12" s="2">
        <v>0</v>
      </c>
      <c r="AX12" s="2">
        <v>1.8256666666666668</v>
      </c>
      <c r="AY12" s="2">
        <v>2.4350000000000001</v>
      </c>
      <c r="AZ12" s="2">
        <v>1.5333333333333332E-2</v>
      </c>
      <c r="BA12" s="2">
        <v>2.7E-2</v>
      </c>
      <c r="BB12" s="2">
        <v>1.7713333333333334</v>
      </c>
      <c r="BC12" s="2">
        <v>2.7736666666666667</v>
      </c>
      <c r="BD12" s="2">
        <v>6.8170000000000002</v>
      </c>
      <c r="BE12" s="2">
        <v>7.1439999999999992</v>
      </c>
      <c r="BF12" s="2">
        <v>0</v>
      </c>
      <c r="BG12" s="2">
        <v>0.17900000000000002</v>
      </c>
      <c r="BH12" s="2">
        <v>4.7443333333333335</v>
      </c>
      <c r="BI12" s="2">
        <v>0.16200000000000001</v>
      </c>
      <c r="BJ12" s="2">
        <v>5.6109999999999998</v>
      </c>
      <c r="BK12" s="2">
        <v>0</v>
      </c>
      <c r="BL12" s="2">
        <v>0</v>
      </c>
      <c r="BM12" s="2">
        <v>2.8613333333333331</v>
      </c>
      <c r="BN12" s="2">
        <v>5.575333333333333</v>
      </c>
      <c r="BO12" s="2">
        <v>0.33766666666666662</v>
      </c>
      <c r="BP12" s="2">
        <v>5.4396666666666667</v>
      </c>
      <c r="BQ12" s="2">
        <v>5.083333333333333</v>
      </c>
      <c r="BR12" s="2">
        <v>9.0169999999999995</v>
      </c>
      <c r="BS12" s="2">
        <v>0</v>
      </c>
      <c r="BT12" s="2">
        <v>0</v>
      </c>
      <c r="BU12" s="29">
        <v>0</v>
      </c>
      <c r="BV12" s="29">
        <v>1.0091519999999998</v>
      </c>
      <c r="BW12" s="29">
        <v>0</v>
      </c>
      <c r="BX12" s="29">
        <v>4.5457920000000005</v>
      </c>
      <c r="BY12" s="30"/>
    </row>
    <row r="13" spans="1:77" ht="15" thickBot="1" x14ac:dyDescent="0.4">
      <c r="A13" s="13" t="s">
        <v>11</v>
      </c>
      <c r="B13" s="5">
        <v>0.48733333333333334</v>
      </c>
      <c r="C13" s="4">
        <v>0.75633333333333341</v>
      </c>
      <c r="D13" s="4">
        <v>7.0333333333333331E-2</v>
      </c>
      <c r="E13" s="4">
        <v>1.1870000000000001</v>
      </c>
      <c r="F13" s="4">
        <v>0.98433333333333328</v>
      </c>
      <c r="G13" s="4">
        <v>0.35666666666666669</v>
      </c>
      <c r="H13" s="4">
        <v>0</v>
      </c>
      <c r="I13" s="4">
        <v>0.14833333333333334</v>
      </c>
      <c r="J13" s="4">
        <v>7.9993333333333334</v>
      </c>
      <c r="K13" s="4">
        <v>1.2406666666666666</v>
      </c>
      <c r="L13" s="4">
        <v>2.1823333333333332</v>
      </c>
      <c r="M13" s="4">
        <v>2.5843333333333334</v>
      </c>
      <c r="N13" s="4">
        <v>0</v>
      </c>
      <c r="O13" s="4">
        <v>2.7633333333333333E-2</v>
      </c>
      <c r="P13" s="4">
        <v>1.7553333333333334</v>
      </c>
      <c r="Q13" s="4">
        <v>0</v>
      </c>
      <c r="R13" s="4">
        <v>0.25533333333333336</v>
      </c>
      <c r="S13" s="4">
        <v>1.4729999999999999</v>
      </c>
      <c r="T13" s="4">
        <v>0.72099999999999997</v>
      </c>
      <c r="U13" s="4">
        <v>0.64466666666666661</v>
      </c>
      <c r="V13" s="4">
        <v>2.4546666666666668</v>
      </c>
      <c r="W13" s="4">
        <v>6.1913333333333336</v>
      </c>
      <c r="X13" s="4">
        <v>2.4406666666666665</v>
      </c>
      <c r="Y13" s="4">
        <v>2.7313333333333336</v>
      </c>
      <c r="Z13" s="4">
        <v>3.1363333333333334</v>
      </c>
      <c r="AA13" s="4">
        <v>2.5823333333333331</v>
      </c>
      <c r="AB13" s="4">
        <v>5.8883333333333328</v>
      </c>
      <c r="AC13" s="4">
        <v>0.57799999999999996</v>
      </c>
      <c r="AD13" s="4">
        <v>8.2110000000000003</v>
      </c>
      <c r="AE13" s="4">
        <v>0.39066666666666666</v>
      </c>
      <c r="AF13" s="4">
        <v>1.9766666666666666</v>
      </c>
      <c r="AG13" s="4">
        <v>0.89800000000000002</v>
      </c>
      <c r="AH13" s="4">
        <v>0.29699999999999999</v>
      </c>
      <c r="AI13" s="4">
        <v>1.0733333333333335</v>
      </c>
      <c r="AJ13" s="4">
        <v>0.28466666666666668</v>
      </c>
      <c r="AK13" s="4">
        <v>0.99366666666666659</v>
      </c>
      <c r="AL13" s="4">
        <v>7.5249999999999995</v>
      </c>
      <c r="AM13" s="4">
        <v>5.8903333333333334</v>
      </c>
      <c r="AN13" s="4">
        <v>5.1323333333333334</v>
      </c>
      <c r="AO13" s="4">
        <v>8.0666666666666664E-3</v>
      </c>
      <c r="AP13" s="4">
        <v>8.6643333333333334</v>
      </c>
      <c r="AQ13" s="4">
        <v>2.2426666666666666</v>
      </c>
      <c r="AR13" s="4">
        <v>2.9420000000000002</v>
      </c>
      <c r="AS13" s="4">
        <v>1.214</v>
      </c>
      <c r="AT13" s="4">
        <v>0</v>
      </c>
      <c r="AU13" s="4">
        <v>0</v>
      </c>
      <c r="AV13" s="4">
        <v>0</v>
      </c>
      <c r="AW13" s="4">
        <v>8.6333333333333331E-3</v>
      </c>
      <c r="AX13" s="4">
        <v>0.29866666666666669</v>
      </c>
      <c r="AY13" s="4">
        <v>1.4163333333333332</v>
      </c>
      <c r="AZ13" s="4">
        <v>0</v>
      </c>
      <c r="BA13" s="4">
        <v>0</v>
      </c>
      <c r="BB13" s="4">
        <v>1.0063333333333333</v>
      </c>
      <c r="BC13" s="4">
        <v>2.2346666666666666</v>
      </c>
      <c r="BD13" s="4">
        <v>4.762666666666667</v>
      </c>
      <c r="BE13" s="4">
        <v>2.12</v>
      </c>
      <c r="BF13" s="4">
        <v>0</v>
      </c>
      <c r="BG13" s="4">
        <v>0.7486666666666667</v>
      </c>
      <c r="BH13" s="4">
        <v>3.7553333333333332</v>
      </c>
      <c r="BI13" s="4">
        <v>0.60199999999999998</v>
      </c>
      <c r="BJ13" s="4">
        <v>4.5133333333333328</v>
      </c>
      <c r="BK13" s="4">
        <v>0</v>
      </c>
      <c r="BL13" s="4">
        <v>0</v>
      </c>
      <c r="BM13" s="4">
        <v>2.3646666666666669</v>
      </c>
      <c r="BN13" s="4">
        <v>3.0016666666666669</v>
      </c>
      <c r="BO13" s="4">
        <v>2.3333333333333335E-3</v>
      </c>
      <c r="BP13" s="4">
        <v>3.4103333333333334</v>
      </c>
      <c r="BQ13" s="4">
        <v>5.0123333333333333</v>
      </c>
      <c r="BR13" s="4">
        <v>6.1223333333333336</v>
      </c>
      <c r="BS13" s="4">
        <v>0</v>
      </c>
      <c r="BT13" s="4">
        <v>0</v>
      </c>
      <c r="BU13" s="35">
        <v>0</v>
      </c>
      <c r="BV13" s="35">
        <v>0.74880000000000002</v>
      </c>
      <c r="BW13" s="35">
        <v>0</v>
      </c>
      <c r="BX13" s="35">
        <v>0.54345600000000005</v>
      </c>
      <c r="BY13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>
      <selection activeCell="F17" sqref="F17"/>
    </sheetView>
  </sheetViews>
  <sheetFormatPr baseColWidth="10" defaultRowHeight="14.5" x14ac:dyDescent="0.35"/>
  <sheetData>
    <row r="1" spans="1:77" ht="15" thickBot="1" x14ac:dyDescent="0.4">
      <c r="A1" s="14" t="s">
        <v>18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1.1220000000000001</v>
      </c>
      <c r="D2" s="7">
        <v>0.30266666666666669</v>
      </c>
      <c r="E2" s="7">
        <v>0.10933333333333334</v>
      </c>
      <c r="F2" s="7">
        <v>0.23833333333333331</v>
      </c>
      <c r="G2" s="7">
        <v>6.7666666666666667E-2</v>
      </c>
      <c r="H2" s="7">
        <v>4.1333333333333333E-2</v>
      </c>
      <c r="I2" s="7">
        <v>1.7866666666666666E-2</v>
      </c>
      <c r="J2" s="7">
        <v>9.0666666666666673E-2</v>
      </c>
      <c r="K2" s="7">
        <v>4.269333333333333</v>
      </c>
      <c r="L2" s="7">
        <v>0.83533333333333326</v>
      </c>
      <c r="M2" s="7">
        <v>0.88400000000000001</v>
      </c>
      <c r="N2" s="7">
        <v>0.52866666666666673</v>
      </c>
      <c r="O2" s="7">
        <v>8.533333333333333E-2</v>
      </c>
      <c r="P2" s="7">
        <v>9.4999999999999987E-2</v>
      </c>
      <c r="Q2" s="7">
        <v>0.37166666666666665</v>
      </c>
      <c r="R2" s="7">
        <v>0.20666666666666667</v>
      </c>
      <c r="S2" s="7">
        <v>0.22133333333333335</v>
      </c>
      <c r="T2" s="7">
        <v>0.13533333333333333</v>
      </c>
      <c r="U2" s="7">
        <v>0.20833333333333334</v>
      </c>
      <c r="V2" s="7">
        <v>0.29633333333333334</v>
      </c>
      <c r="W2" s="7">
        <v>0.76533333333333331</v>
      </c>
      <c r="X2" s="7">
        <v>4.3250000000000002</v>
      </c>
      <c r="Y2" s="7">
        <v>2.5843333333333334</v>
      </c>
      <c r="Z2" s="7">
        <v>1.8806666666666667</v>
      </c>
      <c r="AA2" s="7">
        <v>1.1623333333333334</v>
      </c>
      <c r="AB2" s="7">
        <v>1.9856666666666667</v>
      </c>
      <c r="AC2" s="7">
        <v>7.7833333333333341</v>
      </c>
      <c r="AD2" s="7">
        <v>0.91966666666666663</v>
      </c>
      <c r="AE2" s="7">
        <v>5.6503333333333332</v>
      </c>
      <c r="AF2" s="7">
        <v>1.1996666666666667</v>
      </c>
      <c r="AG2" s="7">
        <v>3.7256666666666667</v>
      </c>
      <c r="AH2" s="7">
        <v>2.3029999999999999</v>
      </c>
      <c r="AI2" s="7">
        <v>1.2289999999999999</v>
      </c>
      <c r="AJ2" s="7">
        <v>0.79833333333333334</v>
      </c>
      <c r="AK2" s="7">
        <v>0.76433333333333342</v>
      </c>
      <c r="AL2" s="7">
        <v>0.7556666666666666</v>
      </c>
      <c r="AM2" s="7">
        <v>6.03</v>
      </c>
      <c r="AN2" s="7">
        <v>3.5063333333333335</v>
      </c>
      <c r="AO2" s="7">
        <v>2.8556666666666666</v>
      </c>
      <c r="AP2" s="7">
        <v>0.7496666666666667</v>
      </c>
      <c r="AQ2" s="7">
        <v>1.7743333333333335</v>
      </c>
      <c r="AR2" s="7">
        <v>3.1539999999999999</v>
      </c>
      <c r="AS2" s="7">
        <v>2.1856666666666666</v>
      </c>
      <c r="AT2" s="7">
        <v>1.0629999999999999</v>
      </c>
      <c r="AU2" s="7">
        <v>0.45933333333333332</v>
      </c>
      <c r="AV2" s="7">
        <v>0.30499999999999999</v>
      </c>
      <c r="AW2" s="7">
        <v>0.18799999999999997</v>
      </c>
      <c r="AX2" s="7">
        <v>0.22333333333333336</v>
      </c>
      <c r="AY2" s="7">
        <v>0.25566666666666665</v>
      </c>
      <c r="AZ2" s="7">
        <v>1.0589999999999999</v>
      </c>
      <c r="BA2" s="7">
        <v>0.87766666666666671</v>
      </c>
      <c r="BB2" s="7">
        <v>0.19166666666666665</v>
      </c>
      <c r="BC2" s="7">
        <v>0.34099999999999997</v>
      </c>
      <c r="BD2" s="7">
        <v>1.2253333333333334</v>
      </c>
      <c r="BE2" s="7">
        <v>3.2883333333333336</v>
      </c>
      <c r="BF2" s="7">
        <v>1.2826666666666666</v>
      </c>
      <c r="BG2" s="7">
        <v>0.47333333333333333</v>
      </c>
      <c r="BH2" s="7">
        <v>1.6529999999999998</v>
      </c>
      <c r="BI2" s="7">
        <v>4.6206666666666667</v>
      </c>
      <c r="BJ2" s="7">
        <v>1.633</v>
      </c>
      <c r="BK2" s="7">
        <v>5.9903333333333331</v>
      </c>
      <c r="BL2" s="7">
        <v>1.0653333333333335</v>
      </c>
      <c r="BM2" s="7">
        <v>0.57700000000000007</v>
      </c>
      <c r="BN2" s="7">
        <v>2.1126666666666667</v>
      </c>
      <c r="BO2" s="7">
        <v>1.7716666666666667</v>
      </c>
      <c r="BP2" s="7">
        <v>1.24</v>
      </c>
      <c r="BQ2" s="7">
        <v>1.9119999999999999</v>
      </c>
      <c r="BR2" s="7">
        <v>2.9803333333333337</v>
      </c>
      <c r="BS2" s="7">
        <v>3.6430000000000002</v>
      </c>
      <c r="BT2" s="7">
        <v>0.56866666666666665</v>
      </c>
      <c r="BU2" s="31">
        <v>0.17740800000000001</v>
      </c>
      <c r="BV2" s="31">
        <v>8.3519999999999983E-2</v>
      </c>
      <c r="BW2" s="31">
        <v>0.234432</v>
      </c>
      <c r="BX2" s="31">
        <v>4.2336000000000006E-2</v>
      </c>
      <c r="BY2" s="32">
        <v>5.1840000000000011E-2</v>
      </c>
    </row>
    <row r="3" spans="1:77" x14ac:dyDescent="0.35">
      <c r="A3" s="12" t="s">
        <v>1</v>
      </c>
      <c r="B3" s="3">
        <v>0.77566666666666662</v>
      </c>
      <c r="C3" s="2">
        <v>0.24966666666666665</v>
      </c>
      <c r="D3" s="2">
        <v>0.317</v>
      </c>
      <c r="E3" s="2">
        <v>0.10466666666666667</v>
      </c>
      <c r="F3" s="2">
        <v>0.29599999999999999</v>
      </c>
      <c r="G3" s="2">
        <v>8.4000000000000005E-2</v>
      </c>
      <c r="H3" s="2">
        <v>8.7666666666666671E-2</v>
      </c>
      <c r="I3" s="2">
        <v>1.6133333333333333E-2</v>
      </c>
      <c r="J3" s="2">
        <v>6.533333333333334E-2</v>
      </c>
      <c r="K3" s="2">
        <v>2.8889999999999998</v>
      </c>
      <c r="L3" s="2">
        <v>0.7406666666666667</v>
      </c>
      <c r="M3" s="2">
        <v>0.80566666666666664</v>
      </c>
      <c r="N3" s="2">
        <v>0.41399999999999998</v>
      </c>
      <c r="O3" s="2">
        <v>0.123</v>
      </c>
      <c r="P3" s="2">
        <v>7.9333333333333325E-2</v>
      </c>
      <c r="Q3" s="2">
        <v>0.28466666666666668</v>
      </c>
      <c r="R3" s="2">
        <v>0.23233333333333331</v>
      </c>
      <c r="S3" s="2">
        <v>0.10933333333333334</v>
      </c>
      <c r="T3" s="2">
        <v>0.28966666666666668</v>
      </c>
      <c r="U3" s="2">
        <v>0.104</v>
      </c>
      <c r="V3" s="2">
        <v>0.31233333333333335</v>
      </c>
      <c r="W3" s="2">
        <v>0.56933333333333336</v>
      </c>
      <c r="X3" s="2">
        <v>3.26</v>
      </c>
      <c r="Y3" s="2">
        <v>2.2956666666666665</v>
      </c>
      <c r="Z3" s="2">
        <v>1.587</v>
      </c>
      <c r="AA3" s="2">
        <v>0.96533333333333327</v>
      </c>
      <c r="AB3" s="2">
        <v>1.579</v>
      </c>
      <c r="AC3" s="2">
        <v>5.9343333333333339</v>
      </c>
      <c r="AD3" s="2">
        <v>0.89</v>
      </c>
      <c r="AE3" s="2">
        <v>3.7466666666666666</v>
      </c>
      <c r="AF3" s="2">
        <v>1.1879999999999999</v>
      </c>
      <c r="AG3" s="2">
        <v>3.0433333333333334</v>
      </c>
      <c r="AH3" s="2">
        <v>1.7266666666666666</v>
      </c>
      <c r="AI3" s="2">
        <v>1.1636666666666666</v>
      </c>
      <c r="AJ3" s="2">
        <v>0.7639999999999999</v>
      </c>
      <c r="AK3" s="2">
        <v>0.63</v>
      </c>
      <c r="AL3" s="2">
        <v>0.53</v>
      </c>
      <c r="AM3" s="2">
        <v>4.4333333333333336</v>
      </c>
      <c r="AN3" s="2">
        <v>2.4929999999999999</v>
      </c>
      <c r="AO3" s="2">
        <v>2.5213333333333332</v>
      </c>
      <c r="AP3" s="2">
        <v>0.7453333333333334</v>
      </c>
      <c r="AQ3" s="2">
        <v>1.6423333333333332</v>
      </c>
      <c r="AR3" s="2">
        <v>3.3306666666666671</v>
      </c>
      <c r="AS3" s="2">
        <v>1.6280000000000001</v>
      </c>
      <c r="AT3" s="2">
        <v>1.1123333333333334</v>
      </c>
      <c r="AU3" s="2">
        <v>0.439</v>
      </c>
      <c r="AV3" s="2">
        <v>0.26833333333333337</v>
      </c>
      <c r="AW3" s="2">
        <v>0.20866666666666667</v>
      </c>
      <c r="AX3" s="2">
        <v>0.28733333333333333</v>
      </c>
      <c r="AY3" s="2">
        <v>0.33966666666666662</v>
      </c>
      <c r="AZ3" s="2">
        <v>1.0286666666666666</v>
      </c>
      <c r="BA3" s="2">
        <v>0.73166666666666658</v>
      </c>
      <c r="BB3" s="2">
        <v>0.32100000000000001</v>
      </c>
      <c r="BC3" s="2">
        <v>0.42766666666666664</v>
      </c>
      <c r="BD3" s="2">
        <v>1.0936666666666668</v>
      </c>
      <c r="BE3" s="2">
        <v>2.7433333333333336</v>
      </c>
      <c r="BF3" s="2">
        <v>1.2576666666666667</v>
      </c>
      <c r="BG3" s="2">
        <v>0.51433333333333331</v>
      </c>
      <c r="BH3" s="2">
        <v>1.5373333333333334</v>
      </c>
      <c r="BI3" s="2">
        <v>3.5326666666666671</v>
      </c>
      <c r="BJ3" s="2">
        <v>1.6353333333333333</v>
      </c>
      <c r="BK3" s="2">
        <v>4.9479999999999995</v>
      </c>
      <c r="BL3" s="2">
        <v>1.3753333333333335</v>
      </c>
      <c r="BM3" s="2">
        <v>0.58199999999999996</v>
      </c>
      <c r="BN3" s="2">
        <v>1.806</v>
      </c>
      <c r="BO3" s="2">
        <v>1.7293333333333332</v>
      </c>
      <c r="BP3" s="2">
        <v>1.169</v>
      </c>
      <c r="BQ3" s="2">
        <v>1.3116666666666668</v>
      </c>
      <c r="BR3" s="2">
        <v>1.8176666666666668</v>
      </c>
      <c r="BS3" s="2">
        <v>2.2159999999999997</v>
      </c>
      <c r="BT3" s="2">
        <v>0.57333333333333336</v>
      </c>
      <c r="BU3" s="29">
        <v>0.25315200000000004</v>
      </c>
      <c r="BV3" s="29">
        <v>0.11001599999999999</v>
      </c>
      <c r="BW3" s="29">
        <v>0.23414400000000005</v>
      </c>
      <c r="BX3" s="29">
        <v>6.364800000000001E-2</v>
      </c>
      <c r="BY3" s="30">
        <v>7.2287999999999991E-2</v>
      </c>
    </row>
    <row r="4" spans="1:77" x14ac:dyDescent="0.35">
      <c r="A4" s="12" t="s">
        <v>2</v>
      </c>
      <c r="B4" s="3">
        <v>0.83733333333333337</v>
      </c>
      <c r="C4" s="2">
        <v>0.30033333333333334</v>
      </c>
      <c r="D4" s="2">
        <v>0.33566666666666667</v>
      </c>
      <c r="E4" s="2">
        <v>0.21166666666666667</v>
      </c>
      <c r="F4" s="2">
        <v>0.23299999999999998</v>
      </c>
      <c r="G4" s="2">
        <v>4.1333333333333333E-2</v>
      </c>
      <c r="H4" s="2">
        <v>4.5666666666666668E-2</v>
      </c>
      <c r="I4" s="2">
        <v>0.17400000000000002</v>
      </c>
      <c r="J4" s="2">
        <v>3.7999999999999999E-2</v>
      </c>
      <c r="K4" s="2">
        <v>2.1403333333333334</v>
      </c>
      <c r="L4" s="2">
        <v>0.37833333333333335</v>
      </c>
      <c r="M4" s="2">
        <v>0.18266666666666667</v>
      </c>
      <c r="N4" s="2">
        <v>0.311</v>
      </c>
      <c r="O4" s="2">
        <v>0.10366666666666667</v>
      </c>
      <c r="P4" s="2">
        <v>0.16700000000000001</v>
      </c>
      <c r="Q4" s="2">
        <v>0.17600000000000002</v>
      </c>
      <c r="R4" s="2">
        <v>1.4686666666666666</v>
      </c>
      <c r="S4" s="2">
        <v>0.105</v>
      </c>
      <c r="T4" s="2">
        <v>0.13933333333333334</v>
      </c>
      <c r="U4" s="2">
        <v>7.4999999999999997E-2</v>
      </c>
      <c r="V4" s="2">
        <v>0.28433333333333333</v>
      </c>
      <c r="W4" s="2">
        <v>0.311</v>
      </c>
      <c r="X4" s="2">
        <v>2.4066666666666667</v>
      </c>
      <c r="Y4" s="2">
        <v>1.962</v>
      </c>
      <c r="Z4" s="2">
        <v>1.4480000000000002</v>
      </c>
      <c r="AA4" s="2">
        <v>0.83433333333333337</v>
      </c>
      <c r="AB4" s="2">
        <v>1.2030000000000001</v>
      </c>
      <c r="AC4" s="2">
        <v>4.6900000000000004</v>
      </c>
      <c r="AD4" s="2">
        <v>0.82699999999999996</v>
      </c>
      <c r="AE4" s="2">
        <v>2.7433333333333336</v>
      </c>
      <c r="AF4" s="2">
        <v>0.79233333333333322</v>
      </c>
      <c r="AG4" s="2">
        <v>2.0760000000000001</v>
      </c>
      <c r="AH4" s="2">
        <v>1.8523333333333334</v>
      </c>
      <c r="AI4" s="2">
        <v>1.1193333333333333</v>
      </c>
      <c r="AJ4" s="2">
        <v>0.53400000000000003</v>
      </c>
      <c r="AK4" s="2">
        <v>0.39100000000000001</v>
      </c>
      <c r="AL4" s="2">
        <v>0.43733333333333335</v>
      </c>
      <c r="AM4" s="2">
        <v>4.137666666666667</v>
      </c>
      <c r="AN4" s="2">
        <v>1.8983333333333334</v>
      </c>
      <c r="AO4" s="2">
        <v>1.7643333333333333</v>
      </c>
      <c r="AP4" s="2">
        <v>0.97400000000000009</v>
      </c>
      <c r="AQ4" s="2">
        <v>1.367</v>
      </c>
      <c r="AR4" s="2">
        <v>2.6903333333333332</v>
      </c>
      <c r="AS4" s="2">
        <v>1.7506666666666666</v>
      </c>
      <c r="AT4" s="2">
        <v>1.2449999999999999</v>
      </c>
      <c r="AU4" s="2">
        <v>0.52866666666666673</v>
      </c>
      <c r="AV4" s="2">
        <v>0.36600000000000005</v>
      </c>
      <c r="AW4" s="2">
        <v>0.26233333333333336</v>
      </c>
      <c r="AX4" s="2">
        <v>0.26633333333333337</v>
      </c>
      <c r="AY4" s="2">
        <v>0.25266666666666665</v>
      </c>
      <c r="AZ4" s="2">
        <v>0.83766666666666667</v>
      </c>
      <c r="BA4" s="2">
        <v>0.77533333333333332</v>
      </c>
      <c r="BB4" s="2">
        <v>0.17800000000000002</v>
      </c>
      <c r="BC4" s="2">
        <v>0.25533333333333336</v>
      </c>
      <c r="BD4" s="2">
        <v>2.4876666666666667</v>
      </c>
      <c r="BE4" s="2">
        <v>2.6586666666666665</v>
      </c>
      <c r="BF4" s="2">
        <v>0.87699999999999989</v>
      </c>
      <c r="BG4" s="2">
        <v>0.47966666666666669</v>
      </c>
      <c r="BH4" s="2">
        <v>1.1566666666666667</v>
      </c>
      <c r="BI4" s="2">
        <v>3.08</v>
      </c>
      <c r="BJ4" s="2">
        <v>1.2586666666666666</v>
      </c>
      <c r="BK4" s="2">
        <v>4.0056666666666665</v>
      </c>
      <c r="BL4" s="2">
        <v>0.90099999999999991</v>
      </c>
      <c r="BM4" s="2">
        <v>0.158</v>
      </c>
      <c r="BN4" s="2">
        <v>1.1803333333333332</v>
      </c>
      <c r="BO4" s="2">
        <v>1.1996666666666667</v>
      </c>
      <c r="BP4" s="2">
        <v>0.89433333333333331</v>
      </c>
      <c r="BQ4" s="2">
        <v>0.88833333333333331</v>
      </c>
      <c r="BR4" s="2">
        <v>0.98866666666666669</v>
      </c>
      <c r="BS4" s="2">
        <v>1.476</v>
      </c>
      <c r="BT4" s="2">
        <v>0.22533333333333336</v>
      </c>
      <c r="BU4" s="29">
        <v>0.15379199999999987</v>
      </c>
      <c r="BV4" s="29">
        <v>5.9903999999999971E-2</v>
      </c>
      <c r="BW4" s="29">
        <v>0.198432</v>
      </c>
      <c r="BX4" s="29">
        <v>7.6895999999999992E-2</v>
      </c>
      <c r="BY4" s="30">
        <v>8.3807999999999994E-2</v>
      </c>
    </row>
    <row r="5" spans="1:77" x14ac:dyDescent="0.35">
      <c r="A5" s="12" t="s">
        <v>3</v>
      </c>
      <c r="B5" s="3">
        <v>0.27300000000000002</v>
      </c>
      <c r="C5" s="2">
        <v>0.34899999999999998</v>
      </c>
      <c r="D5" s="2">
        <v>0.36433333333333329</v>
      </c>
      <c r="E5" s="2">
        <v>0.27066666666666667</v>
      </c>
      <c r="F5" s="2">
        <v>0.37833333333333335</v>
      </c>
      <c r="G5" s="2">
        <v>3.4666666666666665E-2</v>
      </c>
      <c r="H5" s="2">
        <v>6.0999999999999999E-2</v>
      </c>
      <c r="I5" s="2">
        <v>9.0229999999999997</v>
      </c>
      <c r="J5" s="2">
        <v>3.3333333333333333E-2</v>
      </c>
      <c r="K5" s="2">
        <v>1.2736666666666667</v>
      </c>
      <c r="L5" s="2">
        <v>0.8876666666666666</v>
      </c>
      <c r="M5" s="2">
        <v>0.22466666666666668</v>
      </c>
      <c r="N5" s="2">
        <v>0.57033333333333336</v>
      </c>
      <c r="O5" s="2">
        <v>0.7406666666666667</v>
      </c>
      <c r="P5" s="2">
        <v>7.4666666666666673E-2</v>
      </c>
      <c r="Q5" s="2">
        <v>0.35566666666666663</v>
      </c>
      <c r="R5" s="2">
        <v>0.22233333333333336</v>
      </c>
      <c r="S5" s="2">
        <v>0.155</v>
      </c>
      <c r="T5" s="2">
        <v>8.666666666666667E-2</v>
      </c>
      <c r="U5" s="2">
        <v>0.23433333333333331</v>
      </c>
      <c r="V5" s="2">
        <v>0.20899999999999999</v>
      </c>
      <c r="W5" s="2">
        <v>0.22366666666666668</v>
      </c>
      <c r="X5" s="2">
        <v>1.6026666666666667</v>
      </c>
      <c r="Y5" s="2">
        <v>1.1463333333333334</v>
      </c>
      <c r="Z5" s="2">
        <v>0.88800000000000001</v>
      </c>
      <c r="AA5" s="2">
        <v>0.64900000000000002</v>
      </c>
      <c r="AB5" s="2">
        <v>1.5066666666666666</v>
      </c>
      <c r="AC5" s="2">
        <v>2.9076666666666671</v>
      </c>
      <c r="AD5" s="2">
        <v>0.39100000000000001</v>
      </c>
      <c r="AE5" s="2">
        <v>2.5169999999999999</v>
      </c>
      <c r="AF5" s="2">
        <v>0.58100000000000007</v>
      </c>
      <c r="AG5" s="2">
        <v>4.8849999999999998</v>
      </c>
      <c r="AH5" s="2">
        <v>1.4463333333333335</v>
      </c>
      <c r="AI5" s="2">
        <v>0.52</v>
      </c>
      <c r="AJ5" s="2">
        <v>0.16666666666666666</v>
      </c>
      <c r="AK5" s="2">
        <v>0.73799999999999999</v>
      </c>
      <c r="AL5" s="2">
        <v>0.11933333333333333</v>
      </c>
      <c r="AM5" s="2">
        <v>3.1236666666666668</v>
      </c>
      <c r="AN5" s="2">
        <v>1.2616666666666667</v>
      </c>
      <c r="AO5" s="2">
        <v>1.294</v>
      </c>
      <c r="AP5" s="2">
        <v>1.2013333333333334</v>
      </c>
      <c r="AQ5" s="2">
        <v>1.2989999999999999</v>
      </c>
      <c r="AR5" s="2">
        <v>3.141</v>
      </c>
      <c r="AS5" s="2">
        <v>1.1096666666666668</v>
      </c>
      <c r="AT5" s="2">
        <v>0.65066666666666662</v>
      </c>
      <c r="AU5" s="2">
        <v>0.52033333333333331</v>
      </c>
      <c r="AV5" s="2">
        <v>0.45933333333333332</v>
      </c>
      <c r="AW5" s="2">
        <v>0.20666666666666667</v>
      </c>
      <c r="AX5" s="2">
        <v>0.14399999999999999</v>
      </c>
      <c r="AY5" s="2">
        <v>0.19066666666666665</v>
      </c>
      <c r="AZ5" s="2">
        <v>0.4916666666666667</v>
      </c>
      <c r="BA5" s="2">
        <v>0.23433333333333331</v>
      </c>
      <c r="BB5" s="2">
        <v>0.21833333333333335</v>
      </c>
      <c r="BC5" s="2">
        <v>0.13633333333333333</v>
      </c>
      <c r="BD5" s="2">
        <v>58.415333333333336</v>
      </c>
      <c r="BE5" s="2">
        <v>1.5966666666666667</v>
      </c>
      <c r="BF5" s="2">
        <v>0.59566666666666668</v>
      </c>
      <c r="BG5" s="2">
        <v>0.30499999999999999</v>
      </c>
      <c r="BH5" s="2">
        <v>0.81</v>
      </c>
      <c r="BI5" s="2">
        <v>1.7736666666666665</v>
      </c>
      <c r="BJ5" s="2">
        <v>10.500333333333334</v>
      </c>
      <c r="BK5" s="2">
        <v>2.4673333333333334</v>
      </c>
      <c r="BL5" s="2">
        <v>0.54100000000000004</v>
      </c>
      <c r="BM5" s="2">
        <v>0.107</v>
      </c>
      <c r="BN5" s="2">
        <v>0.53866666666666674</v>
      </c>
      <c r="BO5" s="2">
        <v>0.92499999999999993</v>
      </c>
      <c r="BP5" s="2">
        <v>0.79899999999999993</v>
      </c>
      <c r="BQ5" s="2">
        <v>0.45033333333333331</v>
      </c>
      <c r="BR5" s="2">
        <v>0.55333333333333334</v>
      </c>
      <c r="BS5" s="2">
        <v>0.91600000000000004</v>
      </c>
      <c r="BT5" s="2">
        <v>0.125</v>
      </c>
      <c r="BU5" s="29">
        <v>5.1551999999999987E-2</v>
      </c>
      <c r="BV5" s="29">
        <v>5.7023999999999991E-2</v>
      </c>
      <c r="BW5" s="29">
        <v>0.23500799999999997</v>
      </c>
      <c r="BX5" s="29">
        <v>4.1472000000000002E-2</v>
      </c>
      <c r="BY5" s="30">
        <v>3.4847999999999997E-2</v>
      </c>
    </row>
    <row r="6" spans="1:77" x14ac:dyDescent="0.35">
      <c r="A6" s="12" t="s">
        <v>4</v>
      </c>
      <c r="B6" s="3">
        <v>1.0846666666666667</v>
      </c>
      <c r="C6" s="2">
        <v>3.3553333333333333</v>
      </c>
      <c r="D6" s="2">
        <v>0.83599999999999997</v>
      </c>
      <c r="E6" s="2">
        <v>0.20499999999999999</v>
      </c>
      <c r="F6" s="2">
        <v>6.6360000000000001</v>
      </c>
      <c r="G6" s="2">
        <v>6.3333333333333339E-2</v>
      </c>
      <c r="H6" s="2">
        <v>0.27733333333333332</v>
      </c>
      <c r="I6" s="2">
        <v>10.472666666666667</v>
      </c>
      <c r="J6" s="2">
        <v>0.16533333333333333</v>
      </c>
      <c r="K6" s="2">
        <v>1.2166666666666666</v>
      </c>
      <c r="L6" s="2">
        <v>0.38999999999999996</v>
      </c>
      <c r="M6" s="2">
        <v>0.18999999999999997</v>
      </c>
      <c r="N6" s="2">
        <v>0.66466666666666663</v>
      </c>
      <c r="O6" s="2">
        <v>0.22766666666666668</v>
      </c>
      <c r="P6" s="2">
        <v>0.36966666666666664</v>
      </c>
      <c r="Q6" s="2">
        <v>1.37</v>
      </c>
      <c r="R6" s="2">
        <v>2.4830000000000001</v>
      </c>
      <c r="S6" s="2">
        <v>8.4666666666666668E-2</v>
      </c>
      <c r="T6" s="2">
        <v>0.68666666666666665</v>
      </c>
      <c r="U6" s="2">
        <v>0.78566666666666674</v>
      </c>
      <c r="V6" s="2">
        <v>0.61</v>
      </c>
      <c r="W6" s="2">
        <v>0.20966666666666667</v>
      </c>
      <c r="X6" s="2">
        <v>1.5223333333333333</v>
      </c>
      <c r="Y6" s="2">
        <v>0.75700000000000001</v>
      </c>
      <c r="Z6" s="2">
        <v>0.64033333333333331</v>
      </c>
      <c r="AA6" s="2">
        <v>1.7606666666666666</v>
      </c>
      <c r="AB6" s="2">
        <v>1.6286666666666667</v>
      </c>
      <c r="AC6" s="2">
        <v>2.9250000000000003</v>
      </c>
      <c r="AD6" s="2">
        <v>0.92866666666666664</v>
      </c>
      <c r="AE6" s="2">
        <v>1.5443333333333333</v>
      </c>
      <c r="AF6" s="2">
        <v>1.3833333333333335</v>
      </c>
      <c r="AG6" s="2">
        <v>8.7726666666666677</v>
      </c>
      <c r="AH6" s="2">
        <v>1.4106666666666667</v>
      </c>
      <c r="AI6" s="2">
        <v>0.40566666666666668</v>
      </c>
      <c r="AJ6" s="2">
        <v>0.31666666666666665</v>
      </c>
      <c r="AK6" s="2">
        <v>0.64433333333333331</v>
      </c>
      <c r="AL6" s="2">
        <v>0.38866666666666666</v>
      </c>
      <c r="AM6" s="2">
        <v>4.1423333333333332</v>
      </c>
      <c r="AN6" s="2">
        <v>0.96</v>
      </c>
      <c r="AO6" s="2">
        <v>1.3096666666666665</v>
      </c>
      <c r="AP6" s="2">
        <v>0.81733333333333336</v>
      </c>
      <c r="AQ6" s="2">
        <v>0.77833333333333332</v>
      </c>
      <c r="AR6" s="2">
        <v>4.7009999999999996</v>
      </c>
      <c r="AS6" s="2">
        <v>1.1213333333333333</v>
      </c>
      <c r="AT6" s="2">
        <v>0.55799999999999994</v>
      </c>
      <c r="AU6" s="2">
        <v>0.52600000000000002</v>
      </c>
      <c r="AV6" s="2">
        <v>0.32</v>
      </c>
      <c r="AW6" s="2">
        <v>0.4463333333333333</v>
      </c>
      <c r="AX6" s="2">
        <v>8.6333333333333331E-2</v>
      </c>
      <c r="AY6" s="2">
        <v>0.26133333333333336</v>
      </c>
      <c r="AZ6" s="2">
        <v>0.26733333333333337</v>
      </c>
      <c r="BA6" s="2">
        <v>0.17266666666666666</v>
      </c>
      <c r="BB6" s="2">
        <v>0.13566666666666666</v>
      </c>
      <c r="BC6" s="2">
        <v>0.12233333333333334</v>
      </c>
      <c r="BD6" s="2">
        <v>9.147333333333334</v>
      </c>
      <c r="BE6" s="2">
        <v>1.5646666666666667</v>
      </c>
      <c r="BF6" s="2">
        <v>0.45466666666666672</v>
      </c>
      <c r="BG6" s="2">
        <v>1.0919999999999999</v>
      </c>
      <c r="BH6" s="2">
        <v>0.96233333333333337</v>
      </c>
      <c r="BI6" s="2">
        <v>1.3963333333333334</v>
      </c>
      <c r="BJ6" s="2">
        <v>4.9033333333333333</v>
      </c>
      <c r="BK6" s="2">
        <v>1.514</v>
      </c>
      <c r="BL6" s="2">
        <v>1.266</v>
      </c>
      <c r="BM6" s="2">
        <v>0.29966666666666669</v>
      </c>
      <c r="BN6" s="2">
        <v>0.44566666666666666</v>
      </c>
      <c r="BO6" s="2">
        <v>2.2479999999999998</v>
      </c>
      <c r="BP6" s="2">
        <v>0.72233333333333327</v>
      </c>
      <c r="BQ6" s="2">
        <v>0.29099999999999998</v>
      </c>
      <c r="BR6" s="2">
        <v>0.19166666666666665</v>
      </c>
      <c r="BS6" s="2">
        <v>0.94333333333333336</v>
      </c>
      <c r="BT6" s="2">
        <v>0.21099999999999999</v>
      </c>
      <c r="BU6" s="29">
        <v>0.10684800000000001</v>
      </c>
      <c r="BV6" s="29">
        <v>0.70588799999999985</v>
      </c>
      <c r="BW6" s="29">
        <v>0.28137599999999996</v>
      </c>
      <c r="BX6" s="29">
        <v>1.8720000000000001E-2</v>
      </c>
      <c r="BY6" s="30">
        <v>0.79948799999999998</v>
      </c>
    </row>
    <row r="7" spans="1:77" x14ac:dyDescent="0.35">
      <c r="A7" s="12" t="s">
        <v>5</v>
      </c>
      <c r="B7" s="3">
        <v>0.98099999999999998</v>
      </c>
      <c r="C7" s="2">
        <v>0.72466666666666668</v>
      </c>
      <c r="D7" s="2">
        <v>0.14233333333333334</v>
      </c>
      <c r="E7" s="2">
        <v>3.7666666666666668E-2</v>
      </c>
      <c r="F7" s="2">
        <v>1.2036666666666667</v>
      </c>
      <c r="G7" s="2">
        <v>2.4766666666666669E-2</v>
      </c>
      <c r="H7" s="2">
        <v>3.3333333333333333E-2</v>
      </c>
      <c r="I7" s="2">
        <v>0.46066666666666661</v>
      </c>
      <c r="J7" s="2">
        <v>1.6609999999999998</v>
      </c>
      <c r="K7" s="2">
        <v>0.67799999999999994</v>
      </c>
      <c r="L7" s="2">
        <v>0.11466666666666665</v>
      </c>
      <c r="M7" s="2">
        <v>5.2323333333333331</v>
      </c>
      <c r="N7" s="2">
        <v>0.35733333333333334</v>
      </c>
      <c r="O7" s="2">
        <v>9.0666666666666673E-2</v>
      </c>
      <c r="P7" s="2">
        <v>6.0666666666666667E-2</v>
      </c>
      <c r="Q7" s="2">
        <v>0.21533333333333335</v>
      </c>
      <c r="R7" s="2">
        <v>0.18666666666666668</v>
      </c>
      <c r="S7" s="2">
        <v>0.23366666666666666</v>
      </c>
      <c r="T7" s="2">
        <v>0.111</v>
      </c>
      <c r="U7" s="2">
        <v>7.6666666666666675E-2</v>
      </c>
      <c r="V7" s="2">
        <v>0.59299999999999997</v>
      </c>
      <c r="W7" s="2">
        <v>1.6616666666666668</v>
      </c>
      <c r="X7" s="2">
        <v>0.76233333333333331</v>
      </c>
      <c r="Y7" s="2">
        <v>0.78200000000000003</v>
      </c>
      <c r="Z7" s="2">
        <v>0.25733333333333336</v>
      </c>
      <c r="AA7" s="2">
        <v>1.0166666666666666</v>
      </c>
      <c r="AB7" s="2">
        <v>0.56366666666666665</v>
      </c>
      <c r="AC7" s="2">
        <v>1.4419999999999999</v>
      </c>
      <c r="AD7" s="2">
        <v>0.54866666666666664</v>
      </c>
      <c r="AE7" s="2">
        <v>5.0153333333333334</v>
      </c>
      <c r="AF7" s="2">
        <v>0.3726666666666667</v>
      </c>
      <c r="AG7" s="2">
        <v>6.835</v>
      </c>
      <c r="AH7" s="2">
        <v>0.90633333333333332</v>
      </c>
      <c r="AI7" s="2">
        <v>0.57766666666666666</v>
      </c>
      <c r="AJ7" s="2">
        <v>4.5000000000000005E-2</v>
      </c>
      <c r="AK7" s="2">
        <v>0.29533333333333334</v>
      </c>
      <c r="AL7" s="2">
        <v>0.74199999999999999</v>
      </c>
      <c r="AM7" s="2">
        <v>10.629333333333333</v>
      </c>
      <c r="AN7" s="2">
        <v>0.89100000000000001</v>
      </c>
      <c r="AO7" s="2">
        <v>0.84066666666666656</v>
      </c>
      <c r="AP7" s="2">
        <v>0.253</v>
      </c>
      <c r="AQ7" s="2">
        <v>0.47599999999999998</v>
      </c>
      <c r="AR7" s="2">
        <v>4.2830000000000004</v>
      </c>
      <c r="AS7" s="2">
        <v>1.1146666666666667</v>
      </c>
      <c r="AT7" s="2">
        <v>0.25133333333333335</v>
      </c>
      <c r="AU7" s="2">
        <v>0.17133333333333334</v>
      </c>
      <c r="AV7" s="2">
        <v>0.18000000000000002</v>
      </c>
      <c r="AW7" s="2">
        <v>0.40633333333333338</v>
      </c>
      <c r="AX7" s="2">
        <v>0.19499999999999998</v>
      </c>
      <c r="AY7" s="2">
        <v>0.20799999999999999</v>
      </c>
      <c r="AZ7" s="2">
        <v>0.46966666666666668</v>
      </c>
      <c r="BA7" s="2">
        <v>2.7333333333333334E-2</v>
      </c>
      <c r="BB7" s="2">
        <v>8.7333333333333332E-2</v>
      </c>
      <c r="BC7" s="2">
        <v>1.6056666666666668</v>
      </c>
      <c r="BD7" s="2">
        <v>5.6739999999999995</v>
      </c>
      <c r="BE7" s="2">
        <v>1.8083333333333333</v>
      </c>
      <c r="BF7" s="2">
        <v>0.11333333333333334</v>
      </c>
      <c r="BG7" s="2">
        <v>0.90933333333333344</v>
      </c>
      <c r="BH7" s="2">
        <v>0.27866666666666667</v>
      </c>
      <c r="BI7" s="2">
        <v>0.70199999999999996</v>
      </c>
      <c r="BJ7" s="2">
        <v>2.1176666666666666</v>
      </c>
      <c r="BK7" s="2">
        <v>0.87</v>
      </c>
      <c r="BL7" s="2">
        <v>0.14599999999999999</v>
      </c>
      <c r="BM7" s="2">
        <v>15.418666666666667</v>
      </c>
      <c r="BN7" s="2">
        <v>0.22533333333333336</v>
      </c>
      <c r="BO7" s="2">
        <v>1.1303333333333334</v>
      </c>
      <c r="BP7" s="2">
        <v>0.21533333333333335</v>
      </c>
      <c r="BQ7" s="2">
        <v>0.28966666666666668</v>
      </c>
      <c r="BR7" s="2">
        <v>5.6333333333333339E-2</v>
      </c>
      <c r="BS7" s="2">
        <v>1.093</v>
      </c>
      <c r="BT7" s="2">
        <v>4.3666666666666666E-2</v>
      </c>
      <c r="BU7" s="29">
        <v>0.65808</v>
      </c>
      <c r="BV7" s="29">
        <v>2.8224000000000003E-2</v>
      </c>
      <c r="BW7" s="29">
        <v>0.25171199999999999</v>
      </c>
      <c r="BX7" s="29">
        <v>4.6080000000000001E-3</v>
      </c>
      <c r="BY7" s="30">
        <v>7.1423999999999987E-2</v>
      </c>
    </row>
    <row r="8" spans="1:77" x14ac:dyDescent="0.35">
      <c r="A8" s="12" t="s">
        <v>6</v>
      </c>
      <c r="B8" s="3">
        <v>0.25700000000000001</v>
      </c>
      <c r="C8" s="2">
        <v>0.23866666666666667</v>
      </c>
      <c r="D8" s="2">
        <v>0.69633333333333336</v>
      </c>
      <c r="E8" s="2">
        <v>4.1333333333333333E-2</v>
      </c>
      <c r="F8" s="2">
        <v>0.60366666666666668</v>
      </c>
      <c r="G8" s="2">
        <v>2.4953333333333334</v>
      </c>
      <c r="H8" s="2">
        <v>5.3666666666666668E-2</v>
      </c>
      <c r="I8" s="2">
        <v>5.6000000000000001E-2</v>
      </c>
      <c r="J8" s="2">
        <v>3.9666666666666663E-2</v>
      </c>
      <c r="K8" s="2">
        <v>0.53233333333333333</v>
      </c>
      <c r="L8" s="2">
        <v>0.42966666666666664</v>
      </c>
      <c r="M8" s="2">
        <v>2.6886666666666668</v>
      </c>
      <c r="N8" s="2">
        <v>9.0333333333333335E-2</v>
      </c>
      <c r="O8" s="2">
        <v>9.6333333333333326E-2</v>
      </c>
      <c r="P8" s="2">
        <v>5.6333333333333339E-2</v>
      </c>
      <c r="Q8" s="2">
        <v>0.31466666666666665</v>
      </c>
      <c r="R8" s="2">
        <v>8.4000000000000005E-2</v>
      </c>
      <c r="S8" s="2">
        <v>2.3599999999999999E-2</v>
      </c>
      <c r="T8" s="2">
        <v>0.122</v>
      </c>
      <c r="U8" s="2">
        <v>0.112</v>
      </c>
      <c r="V8" s="2">
        <v>4.1000000000000002E-2</v>
      </c>
      <c r="W8" s="2">
        <v>1.0620000000000001</v>
      </c>
      <c r="X8" s="2">
        <v>0.64666666666666661</v>
      </c>
      <c r="Y8" s="2">
        <v>0.7453333333333334</v>
      </c>
      <c r="Z8" s="2">
        <v>0.11966666666666666</v>
      </c>
      <c r="AA8" s="2">
        <v>0.91833333333333333</v>
      </c>
      <c r="AB8" s="2">
        <v>6.4009999999999998</v>
      </c>
      <c r="AC8" s="2">
        <v>0.91800000000000004</v>
      </c>
      <c r="AD8" s="2">
        <v>0.20633333333333334</v>
      </c>
      <c r="AE8" s="2">
        <v>2.1496666666666666</v>
      </c>
      <c r="AF8" s="2">
        <v>0.08</v>
      </c>
      <c r="AG8" s="2">
        <v>4.958333333333333</v>
      </c>
      <c r="AH8" s="2">
        <v>0.70699999999999996</v>
      </c>
      <c r="AI8" s="2">
        <v>0.13</v>
      </c>
      <c r="AJ8" s="2">
        <v>2.1599999999999998E-2</v>
      </c>
      <c r="AK8" s="2">
        <v>6.9666666666666668E-2</v>
      </c>
      <c r="AL8" s="2">
        <v>0.37966666666666665</v>
      </c>
      <c r="AM8" s="2">
        <v>10.898000000000001</v>
      </c>
      <c r="AN8" s="2">
        <v>0.74733333333333329</v>
      </c>
      <c r="AO8" s="2">
        <v>0.4366666666666667</v>
      </c>
      <c r="AP8" s="2">
        <v>1.8603333333333334</v>
      </c>
      <c r="AQ8" s="2">
        <v>0.41599999999999998</v>
      </c>
      <c r="AR8" s="2">
        <v>9.5419999999999998</v>
      </c>
      <c r="AS8" s="2">
        <v>0.83766666666666667</v>
      </c>
      <c r="AT8" s="2">
        <v>0.34633333333333333</v>
      </c>
      <c r="AU8" s="2">
        <v>0.26300000000000001</v>
      </c>
      <c r="AV8" s="2">
        <v>0.10066666666666667</v>
      </c>
      <c r="AW8" s="2">
        <v>0.17100000000000001</v>
      </c>
      <c r="AX8" s="2">
        <v>2.5999999999999999E-2</v>
      </c>
      <c r="AY8" s="2">
        <v>0.67033333333333334</v>
      </c>
      <c r="AZ8" s="2">
        <v>0.11366666666666668</v>
      </c>
      <c r="BA8" s="2">
        <v>4.4666666666666667E-2</v>
      </c>
      <c r="BB8" s="2">
        <v>0.18366666666666667</v>
      </c>
      <c r="BC8" s="2">
        <v>0.8736666666666667</v>
      </c>
      <c r="BD8" s="2">
        <v>4.1176666666666666</v>
      </c>
      <c r="BE8" s="2">
        <v>0.70833333333333337</v>
      </c>
      <c r="BF8" s="2">
        <v>0.12166666666666666</v>
      </c>
      <c r="BG8" s="2">
        <v>1.2190000000000001</v>
      </c>
      <c r="BH8" s="2">
        <v>0.16233333333333333</v>
      </c>
      <c r="BI8" s="2">
        <v>0.41766666666666663</v>
      </c>
      <c r="BJ8" s="2">
        <v>44.595666666666666</v>
      </c>
      <c r="BK8" s="2">
        <v>0.51</v>
      </c>
      <c r="BL8" s="2">
        <v>5.6000000000000001E-2</v>
      </c>
      <c r="BM8" s="2">
        <v>0.90566666666666673</v>
      </c>
      <c r="BN8" s="2">
        <v>0.10633333333333334</v>
      </c>
      <c r="BO8" s="2">
        <v>0.66666666666666663</v>
      </c>
      <c r="BP8" s="2">
        <v>3.5999999999999997E-2</v>
      </c>
      <c r="BQ8" s="2">
        <v>0.15366666666666667</v>
      </c>
      <c r="BR8" s="2">
        <v>4.5666666666666668E-2</v>
      </c>
      <c r="BS8" s="2">
        <v>0.41333333333333333</v>
      </c>
      <c r="BT8" s="2">
        <v>2.4999999999999998E-2</v>
      </c>
      <c r="BU8" s="29">
        <v>0.14831999999999998</v>
      </c>
      <c r="BV8" s="29">
        <v>5.9039999999999974E-2</v>
      </c>
      <c r="BW8" s="29">
        <v>9.3311999999999978E-2</v>
      </c>
      <c r="BX8" s="29">
        <v>0</v>
      </c>
      <c r="BY8" s="30">
        <v>0.132192</v>
      </c>
    </row>
    <row r="9" spans="1:77" x14ac:dyDescent="0.35">
      <c r="A9" s="12" t="s">
        <v>7</v>
      </c>
      <c r="B9" s="3">
        <v>0.60333333333333339</v>
      </c>
      <c r="C9" s="2">
        <v>9.5333333333333325E-2</v>
      </c>
      <c r="D9" s="2">
        <v>4.4333333333333336E-2</v>
      </c>
      <c r="E9" s="2">
        <v>1.109</v>
      </c>
      <c r="F9" s="2">
        <v>7.2666666666666671E-2</v>
      </c>
      <c r="G9" s="2">
        <v>1.1180000000000001</v>
      </c>
      <c r="H9" s="2">
        <v>2.0733333333333333E-2</v>
      </c>
      <c r="I9" s="2">
        <v>1.4400000000000001E-2</v>
      </c>
      <c r="J9" s="2">
        <v>0.13233333333333333</v>
      </c>
      <c r="K9" s="2">
        <v>0.5056666666666666</v>
      </c>
      <c r="L9" s="2">
        <v>0.24233333333333332</v>
      </c>
      <c r="M9" s="2">
        <v>1.1556666666666666</v>
      </c>
      <c r="N9" s="2">
        <v>6.8666666666666668E-2</v>
      </c>
      <c r="O9" s="2">
        <v>4.2000000000000003E-2</v>
      </c>
      <c r="P9" s="2">
        <v>0.12366666666666666</v>
      </c>
      <c r="Q9" s="2">
        <v>6.0333333333333329E-2</v>
      </c>
      <c r="R9" s="2">
        <v>3.1869999999999998</v>
      </c>
      <c r="S9" s="2">
        <v>2.1299999999999999E-2</v>
      </c>
      <c r="T9" s="2">
        <v>3.9333333333333331E-2</v>
      </c>
      <c r="U9" s="2">
        <v>7.2413333333333334</v>
      </c>
      <c r="V9" s="2">
        <v>0.33333333333333331</v>
      </c>
      <c r="W9" s="2">
        <v>6.0346666666666664</v>
      </c>
      <c r="X9" s="2">
        <v>6.1419999999999995</v>
      </c>
      <c r="Y9" s="2">
        <v>0.55166666666666664</v>
      </c>
      <c r="Z9" s="2">
        <v>0.24566666666666667</v>
      </c>
      <c r="AA9" s="2">
        <v>2.7136666666666667</v>
      </c>
      <c r="AB9" s="2">
        <v>12.378333333333332</v>
      </c>
      <c r="AC9" s="2">
        <v>0.67799999999999994</v>
      </c>
      <c r="AD9" s="2">
        <v>0.40966666666666668</v>
      </c>
      <c r="AE9" s="2">
        <v>1.3676666666666666</v>
      </c>
      <c r="AF9" s="2">
        <v>4.2250000000000005</v>
      </c>
      <c r="AG9" s="2">
        <v>3.1839999999999997</v>
      </c>
      <c r="AH9" s="2">
        <v>0.54066666666666674</v>
      </c>
      <c r="AI9" s="2">
        <v>8.666666666666667E-2</v>
      </c>
      <c r="AJ9" s="2">
        <v>8.0666666666666664E-3</v>
      </c>
      <c r="AK9" s="2">
        <v>1.5266666666666666E-2</v>
      </c>
      <c r="AL9" s="2">
        <v>0.59233333333333327</v>
      </c>
      <c r="AM9" s="2">
        <v>8.895999999999999</v>
      </c>
      <c r="AN9" s="2">
        <v>1.617</v>
      </c>
      <c r="AO9" s="2">
        <v>0.41466666666666668</v>
      </c>
      <c r="AP9" s="2">
        <v>0.71766666666666667</v>
      </c>
      <c r="AQ9" s="2">
        <v>0.29266666666666669</v>
      </c>
      <c r="AR9" s="2">
        <v>6.8996666666666675</v>
      </c>
      <c r="AS9" s="2">
        <v>0.48466666666666663</v>
      </c>
      <c r="AT9" s="2">
        <v>0.18333333333333335</v>
      </c>
      <c r="AU9" s="2">
        <v>0.10266666666666667</v>
      </c>
      <c r="AV9" s="2">
        <v>0.19833333333333333</v>
      </c>
      <c r="AW9" s="2">
        <v>0.12566666666666668</v>
      </c>
      <c r="AX9" s="2">
        <v>0</v>
      </c>
      <c r="AY9" s="2">
        <v>6.9766666666666666</v>
      </c>
      <c r="AZ9" s="2">
        <v>4.9999999999999996E-2</v>
      </c>
      <c r="BA9" s="2">
        <v>3.8333333333333337E-2</v>
      </c>
      <c r="BB9" s="2">
        <v>4.2333333333333334E-2</v>
      </c>
      <c r="BC9" s="2">
        <v>0.20799999999999999</v>
      </c>
      <c r="BD9" s="2">
        <v>4.2703333333333333</v>
      </c>
      <c r="BE9" s="2">
        <v>0.72133333333333338</v>
      </c>
      <c r="BF9" s="2">
        <v>6.433333333333334E-2</v>
      </c>
      <c r="BG9" s="2">
        <v>3.9293333333333336</v>
      </c>
      <c r="BH9" s="2">
        <v>1.0093333333333334</v>
      </c>
      <c r="BI9" s="2">
        <v>0.24733333333333332</v>
      </c>
      <c r="BJ9" s="2">
        <v>15.632666666666667</v>
      </c>
      <c r="BK9" s="2">
        <v>0.32100000000000001</v>
      </c>
      <c r="BL9" s="2">
        <v>1.7866666666666666E-2</v>
      </c>
      <c r="BM9" s="2">
        <v>0.23666666666666666</v>
      </c>
      <c r="BN9" s="2">
        <v>8.3000000000000004E-2</v>
      </c>
      <c r="BO9" s="2">
        <v>0.21299999999999999</v>
      </c>
      <c r="BP9" s="2">
        <v>7.9666666666666663E-2</v>
      </c>
      <c r="BQ9" s="2">
        <v>4.5333333333333337E-2</v>
      </c>
      <c r="BR9" s="2">
        <v>0.01</v>
      </c>
      <c r="BS9" s="2">
        <v>5.6000000000000001E-2</v>
      </c>
      <c r="BT9" s="2">
        <v>1.5264000000000002E-2</v>
      </c>
      <c r="BU9" s="29">
        <v>5.8463999999999988E-2</v>
      </c>
      <c r="BV9" s="29">
        <v>1.099872</v>
      </c>
      <c r="BW9" s="29">
        <v>0.12326400000000001</v>
      </c>
      <c r="BX9" s="29">
        <v>5.7600000000000001E-4</v>
      </c>
      <c r="BY9" s="30">
        <v>5.9615999999999995E-2</v>
      </c>
    </row>
    <row r="10" spans="1:77" x14ac:dyDescent="0.35">
      <c r="A10" s="12" t="s">
        <v>8</v>
      </c>
      <c r="B10" s="3">
        <v>1.3416666666666668</v>
      </c>
      <c r="C10" s="2">
        <v>0.19500000000000001</v>
      </c>
      <c r="D10" s="2">
        <v>4.3666666666666666E-2</v>
      </c>
      <c r="E10" s="2">
        <v>8.8783333333333339</v>
      </c>
      <c r="F10" s="2">
        <v>5.6000000000000001E-2</v>
      </c>
      <c r="G10" s="2">
        <v>7.8E-2</v>
      </c>
      <c r="H10" s="2">
        <v>3.6999999999999998E-2</v>
      </c>
      <c r="I10" s="2">
        <v>1.41E-2</v>
      </c>
      <c r="J10" s="2">
        <v>6.5676666666666668</v>
      </c>
      <c r="K10" s="2">
        <v>9.2000000000000012E-2</v>
      </c>
      <c r="L10" s="2">
        <v>5.6333333333333339E-2</v>
      </c>
      <c r="M10" s="2">
        <v>0.61399999999999999</v>
      </c>
      <c r="N10" s="2">
        <v>9.2666666666666675E-2</v>
      </c>
      <c r="O10" s="2">
        <v>0.12166666666666666</v>
      </c>
      <c r="P10" s="2">
        <v>20.221666666666668</v>
      </c>
      <c r="Q10" s="2">
        <v>7.2000000000000007E-3</v>
      </c>
      <c r="R10" s="2">
        <v>0.76333333333333331</v>
      </c>
      <c r="S10" s="2">
        <v>0.13066666666666668</v>
      </c>
      <c r="T10" s="2">
        <v>0.11966666666666666</v>
      </c>
      <c r="U10" s="2">
        <v>0.7596666666666666</v>
      </c>
      <c r="V10" s="2">
        <v>0.94633333333333336</v>
      </c>
      <c r="W10" s="2">
        <v>7.6419999999999995</v>
      </c>
      <c r="X10" s="2">
        <v>5.1553333333333331</v>
      </c>
      <c r="Y10" s="2">
        <v>0.98566666666666658</v>
      </c>
      <c r="Z10" s="2">
        <v>0.76133333333333331</v>
      </c>
      <c r="AA10" s="2">
        <v>3.4866666666666668</v>
      </c>
      <c r="AB10" s="2">
        <v>10.266333333333334</v>
      </c>
      <c r="AC10" s="2">
        <v>0.65766666666666673</v>
      </c>
      <c r="AD10" s="2">
        <v>1.9553333333333331</v>
      </c>
      <c r="AE10" s="2">
        <v>1.0283333333333333</v>
      </c>
      <c r="AF10" s="2">
        <v>0.8650000000000001</v>
      </c>
      <c r="AG10" s="2">
        <v>3.5623333333333331</v>
      </c>
      <c r="AH10" s="2">
        <v>0.621</v>
      </c>
      <c r="AI10" s="2">
        <v>1.153</v>
      </c>
      <c r="AJ10" s="2">
        <v>1.21E-2</v>
      </c>
      <c r="AK10" s="2">
        <v>1.3833333333333335E-2</v>
      </c>
      <c r="AL10" s="2">
        <v>12.356</v>
      </c>
      <c r="AM10" s="2">
        <v>8.3160000000000007</v>
      </c>
      <c r="AN10" s="2">
        <v>3.3613333333333331</v>
      </c>
      <c r="AO10" s="2">
        <v>0.33366666666666661</v>
      </c>
      <c r="AP10" s="2">
        <v>1.6103333333333334</v>
      </c>
      <c r="AQ10" s="2">
        <v>1.0410000000000001</v>
      </c>
      <c r="AR10" s="2">
        <v>4.5536666666666665</v>
      </c>
      <c r="AS10" s="2">
        <v>0.87666666666666659</v>
      </c>
      <c r="AT10" s="2">
        <v>0.29966666666666669</v>
      </c>
      <c r="AU10" s="2">
        <v>0.82533333333333336</v>
      </c>
      <c r="AV10" s="2">
        <v>0.27799999999999997</v>
      </c>
      <c r="AW10" s="2">
        <v>0.10466666666666667</v>
      </c>
      <c r="AX10" s="2">
        <v>0.20866666666666667</v>
      </c>
      <c r="AY10" s="2">
        <v>3.8926666666666669</v>
      </c>
      <c r="AZ10" s="2">
        <v>8.6333333333333331E-2</v>
      </c>
      <c r="BA10" s="2">
        <v>0.51300000000000001</v>
      </c>
      <c r="BB10" s="2">
        <v>3.1966666666666664E-2</v>
      </c>
      <c r="BC10" s="2">
        <v>0.4996666666666667</v>
      </c>
      <c r="BD10" s="2">
        <v>4.7919999999999998</v>
      </c>
      <c r="BE10" s="2">
        <v>0.44733333333333336</v>
      </c>
      <c r="BF10" s="2">
        <v>0.253</v>
      </c>
      <c r="BG10" s="2">
        <v>4.3146666666666667</v>
      </c>
      <c r="BH10" s="2">
        <v>10.394</v>
      </c>
      <c r="BI10" s="2">
        <v>1.1093333333333333</v>
      </c>
      <c r="BJ10" s="2">
        <v>10.633000000000001</v>
      </c>
      <c r="BK10" s="2">
        <v>0.10266666666666667</v>
      </c>
      <c r="BL10" s="2">
        <v>2.9366666666666666E-2</v>
      </c>
      <c r="BM10" s="2">
        <v>0.48199999999999998</v>
      </c>
      <c r="BN10" s="2">
        <v>0.106</v>
      </c>
      <c r="BO10" s="2">
        <v>0.18966666666666665</v>
      </c>
      <c r="BP10" s="2">
        <v>0.15833333333333333</v>
      </c>
      <c r="BQ10" s="2">
        <v>0.55500000000000005</v>
      </c>
      <c r="BR10" s="2">
        <v>4.5113333333333339</v>
      </c>
      <c r="BS10" s="2">
        <v>3.4666666666666665E-2</v>
      </c>
      <c r="BT10" s="2">
        <v>8.1215999999999955E-2</v>
      </c>
      <c r="BU10" s="29">
        <v>5.7600000000000001E-4</v>
      </c>
      <c r="BV10" s="29">
        <v>0.22809599999999999</v>
      </c>
      <c r="BW10" s="29">
        <v>4.838399999999999E-2</v>
      </c>
      <c r="BX10" s="29">
        <v>0.12700800000000001</v>
      </c>
      <c r="BY10" s="30">
        <v>0.28022400000000008</v>
      </c>
    </row>
    <row r="11" spans="1:77" x14ac:dyDescent="0.35">
      <c r="A11" s="12" t="s">
        <v>9</v>
      </c>
      <c r="B11" s="3">
        <v>0.63633333333333342</v>
      </c>
      <c r="C11" s="2">
        <v>0.16366666666666665</v>
      </c>
      <c r="D11" s="2">
        <v>4.4999999999999998E-2</v>
      </c>
      <c r="E11" s="2">
        <v>0.128</v>
      </c>
      <c r="F11" s="2">
        <v>0.13200000000000001</v>
      </c>
      <c r="G11" s="2">
        <v>4.6000000000000006E-2</v>
      </c>
      <c r="H11" s="2">
        <v>1.7866666666666666E-2</v>
      </c>
      <c r="I11" s="2">
        <v>0.3753333333333333</v>
      </c>
      <c r="J11" s="2">
        <v>8.4396666666666658</v>
      </c>
      <c r="K11" s="2">
        <v>0.78233333333333333</v>
      </c>
      <c r="L11" s="2">
        <v>4.47</v>
      </c>
      <c r="M11" s="2">
        <v>1.0233333333333332</v>
      </c>
      <c r="N11" s="2">
        <v>7.8E-2</v>
      </c>
      <c r="O11" s="2">
        <v>4.6000000000000005</v>
      </c>
      <c r="P11" s="2">
        <v>0.96200000000000008</v>
      </c>
      <c r="Q11" s="2">
        <v>0.10433333333333333</v>
      </c>
      <c r="R11" s="2">
        <v>0.38833333333333336</v>
      </c>
      <c r="S11" s="2">
        <v>8.900000000000001E-2</v>
      </c>
      <c r="T11" s="2">
        <v>0.26233333333333336</v>
      </c>
      <c r="U11" s="2">
        <v>0.72733333333333328</v>
      </c>
      <c r="V11" s="2">
        <v>0.65666666666666662</v>
      </c>
      <c r="W11" s="2">
        <v>11.647</v>
      </c>
      <c r="X11" s="2">
        <v>4.1653333333333338</v>
      </c>
      <c r="Y11" s="2">
        <v>5.1746666666666661</v>
      </c>
      <c r="Z11" s="2">
        <v>0.40766666666666668</v>
      </c>
      <c r="AA11" s="2">
        <v>3.2396666666666665</v>
      </c>
      <c r="AB11" s="2">
        <v>9.7263333333333328</v>
      </c>
      <c r="AC11" s="2">
        <v>0.85599999999999998</v>
      </c>
      <c r="AD11" s="2">
        <v>4.9393333333333329</v>
      </c>
      <c r="AE11" s="2">
        <v>0.85</v>
      </c>
      <c r="AF11" s="2">
        <v>2.3359999999999999</v>
      </c>
      <c r="AG11" s="2">
        <v>3.1436666666666664</v>
      </c>
      <c r="AH11" s="2">
        <v>0.58599999999999997</v>
      </c>
      <c r="AI11" s="2">
        <v>0.53666666666666674</v>
      </c>
      <c r="AJ11" s="2">
        <v>2.3343333333333334</v>
      </c>
      <c r="AK11" s="2">
        <v>1.534</v>
      </c>
      <c r="AL11" s="2">
        <v>11.767333333333333</v>
      </c>
      <c r="AM11" s="2">
        <v>6.8216666666666663</v>
      </c>
      <c r="AN11" s="2">
        <v>4.57</v>
      </c>
      <c r="AO11" s="2">
        <v>0.55166666666666664</v>
      </c>
      <c r="AP11" s="2">
        <v>3.4606666666666666</v>
      </c>
      <c r="AQ11" s="2">
        <v>1.7166666666666668</v>
      </c>
      <c r="AR11" s="2">
        <v>3.3253333333333335</v>
      </c>
      <c r="AS11" s="2">
        <v>0.82433333333333325</v>
      </c>
      <c r="AT11" s="2">
        <v>0.28999999999999998</v>
      </c>
      <c r="AU11" s="2">
        <v>0.18333333333333335</v>
      </c>
      <c r="AV11" s="2">
        <v>0.17266666666666666</v>
      </c>
      <c r="AW11" s="2">
        <v>0.17666666666666667</v>
      </c>
      <c r="AX11" s="2">
        <v>9.0000000000000011E-2</v>
      </c>
      <c r="AY11" s="2">
        <v>2.3130000000000002</v>
      </c>
      <c r="AZ11" s="2">
        <v>0.3726666666666667</v>
      </c>
      <c r="BA11" s="2">
        <v>0.11699999999999999</v>
      </c>
      <c r="BB11" s="2">
        <v>3.8583333333333329</v>
      </c>
      <c r="BC11" s="2">
        <v>0.55599999999999994</v>
      </c>
      <c r="BD11" s="2">
        <v>5.3823333333333325</v>
      </c>
      <c r="BE11" s="2">
        <v>1.2656666666666667</v>
      </c>
      <c r="BF11" s="2">
        <v>0.18266666666666667</v>
      </c>
      <c r="BG11" s="2">
        <v>3.0060000000000002</v>
      </c>
      <c r="BH11" s="2">
        <v>7.4249999999999998</v>
      </c>
      <c r="BI11" s="2">
        <v>0.8610000000000001</v>
      </c>
      <c r="BJ11" s="2">
        <v>9.2286666666666672</v>
      </c>
      <c r="BK11" s="2">
        <v>0.67833333333333334</v>
      </c>
      <c r="BL11" s="2">
        <v>5.2999999999999999E-2</v>
      </c>
      <c r="BM11" s="2">
        <v>1.3893333333333333</v>
      </c>
      <c r="BN11" s="2">
        <v>0.16666666666666666</v>
      </c>
      <c r="BO11" s="2">
        <v>1.9690000000000001</v>
      </c>
      <c r="BP11" s="2">
        <v>0.18333333333333335</v>
      </c>
      <c r="BQ11" s="2">
        <v>2.1036666666666668</v>
      </c>
      <c r="BR11" s="2">
        <v>4.6053333333333333</v>
      </c>
      <c r="BS11" s="2">
        <v>6.2333333333333331E-2</v>
      </c>
      <c r="BT11" s="2">
        <v>3.1104000000000003E-2</v>
      </c>
      <c r="BU11" s="29">
        <v>6.6240000000000005E-3</v>
      </c>
      <c r="BV11" s="29">
        <v>9.9935999999999983E-2</v>
      </c>
      <c r="BW11" s="29">
        <v>2.8800000000000002E-3</v>
      </c>
      <c r="BX11" s="29">
        <v>8.6399999999999997E-4</v>
      </c>
      <c r="BY11" s="46">
        <v>4.1183999999999985E-2</v>
      </c>
    </row>
    <row r="12" spans="1:77" x14ac:dyDescent="0.35">
      <c r="A12" s="12" t="s">
        <v>10</v>
      </c>
      <c r="B12" s="3">
        <v>0.44733333333333331</v>
      </c>
      <c r="C12" s="2">
        <v>0.23499999999999999</v>
      </c>
      <c r="D12" s="2">
        <v>8.8999999999999996E-2</v>
      </c>
      <c r="E12" s="2">
        <v>0.152</v>
      </c>
      <c r="F12" s="2">
        <v>0.10466666666666667</v>
      </c>
      <c r="G12" s="2">
        <v>4.0333333333333332E-2</v>
      </c>
      <c r="H12" s="2">
        <v>1.7866666666666666E-2</v>
      </c>
      <c r="I12" s="2">
        <v>2.7066666666666666E-2</v>
      </c>
      <c r="J12" s="2">
        <v>10.581</v>
      </c>
      <c r="K12" s="2">
        <v>0.71699999999999997</v>
      </c>
      <c r="L12" s="2">
        <v>0.68199999999999994</v>
      </c>
      <c r="M12" s="2">
        <v>1.583</v>
      </c>
      <c r="N12" s="2">
        <v>6.5000000000000002E-2</v>
      </c>
      <c r="O12" s="2">
        <v>0.28133333333333332</v>
      </c>
      <c r="P12" s="2">
        <v>0.72499999999999998</v>
      </c>
      <c r="Q12" s="2">
        <v>5.3666666666666668E-2</v>
      </c>
      <c r="R12" s="2">
        <v>0.11533333333333333</v>
      </c>
      <c r="S12" s="2">
        <v>3.5666666666666666E-2</v>
      </c>
      <c r="T12" s="2">
        <v>8.900000000000001E-2</v>
      </c>
      <c r="U12" s="2">
        <v>0.25066666666666665</v>
      </c>
      <c r="V12" s="2">
        <v>0.21666666666666667</v>
      </c>
      <c r="W12" s="2">
        <v>7.2436666666666669</v>
      </c>
      <c r="X12" s="2">
        <v>3.0766666666666667</v>
      </c>
      <c r="Y12" s="2">
        <v>2.7793333333333332</v>
      </c>
      <c r="Z12" s="2">
        <v>0.64400000000000002</v>
      </c>
      <c r="AA12" s="2">
        <v>2.6880000000000002</v>
      </c>
      <c r="AB12" s="2">
        <v>9.1763333333333339</v>
      </c>
      <c r="AC12" s="2">
        <v>0.91100000000000003</v>
      </c>
      <c r="AD12" s="2">
        <v>10.565</v>
      </c>
      <c r="AE12" s="2">
        <v>1.1133333333333333</v>
      </c>
      <c r="AF12" s="2">
        <v>2.9763333333333333</v>
      </c>
      <c r="AG12" s="2">
        <v>2.5033333333333334</v>
      </c>
      <c r="AH12" s="2">
        <v>0.65166666666666673</v>
      </c>
      <c r="AI12" s="2">
        <v>0.501</v>
      </c>
      <c r="AJ12" s="2">
        <v>0.42433333333333328</v>
      </c>
      <c r="AK12" s="2">
        <v>0.74199999999999999</v>
      </c>
      <c r="AL12" s="2">
        <v>7.9039999999999999</v>
      </c>
      <c r="AM12" s="2">
        <v>5.1290000000000004</v>
      </c>
      <c r="AN12" s="2">
        <v>3.6966666666666668</v>
      </c>
      <c r="AO12" s="2">
        <v>0.61466666666666669</v>
      </c>
      <c r="AP12" s="2">
        <v>2.512</v>
      </c>
      <c r="AQ12" s="2">
        <v>2.61</v>
      </c>
      <c r="AR12" s="2">
        <v>2.5896666666666666</v>
      </c>
      <c r="AS12" s="2">
        <v>1.0183333333333333</v>
      </c>
      <c r="AT12" s="2">
        <v>0.3116666666666667</v>
      </c>
      <c r="AU12" s="2">
        <v>0.3203333333333333</v>
      </c>
      <c r="AV12" s="2">
        <v>0.14299999999999999</v>
      </c>
      <c r="AW12" s="2">
        <v>0.24033333333333332</v>
      </c>
      <c r="AX12" s="2">
        <v>0.12166666666666666</v>
      </c>
      <c r="AY12" s="2">
        <v>1.5726666666666667</v>
      </c>
      <c r="AZ12" s="2">
        <v>0.76633333333333331</v>
      </c>
      <c r="BA12" s="2">
        <v>0.10433333333333333</v>
      </c>
      <c r="BB12" s="2">
        <v>0.34066666666666667</v>
      </c>
      <c r="BC12" s="2">
        <v>0.87266666666666659</v>
      </c>
      <c r="BD12" s="2">
        <v>4.8466666666666667</v>
      </c>
      <c r="BE12" s="2">
        <v>1.1580000000000001</v>
      </c>
      <c r="BF12" s="2">
        <v>0.22766666666666668</v>
      </c>
      <c r="BG12" s="2">
        <v>1.9856666666666667</v>
      </c>
      <c r="BH12" s="2">
        <v>5.33</v>
      </c>
      <c r="BI12" s="2">
        <v>1.093</v>
      </c>
      <c r="BJ12" s="2">
        <v>7.0169999999999995</v>
      </c>
      <c r="BK12" s="2">
        <v>0.68933333333333335</v>
      </c>
      <c r="BL12" s="2">
        <v>8.1333333333333327E-2</v>
      </c>
      <c r="BM12" s="2">
        <v>1.9916666666666665</v>
      </c>
      <c r="BN12" s="2">
        <v>0.50900000000000001</v>
      </c>
      <c r="BO12" s="2">
        <v>1.3233333333333335</v>
      </c>
      <c r="BP12" s="2">
        <v>1.141</v>
      </c>
      <c r="BQ12" s="2">
        <v>3.4786666666666668</v>
      </c>
      <c r="BR12" s="2">
        <v>5.3963333333333336</v>
      </c>
      <c r="BS12" s="2">
        <v>0.19233333333333333</v>
      </c>
      <c r="BT12" s="2">
        <v>3.4559999999999994E-2</v>
      </c>
      <c r="BU12" s="29">
        <v>3.7440000000000004E-3</v>
      </c>
      <c r="BV12" s="29">
        <v>8.9279999999999998E-2</v>
      </c>
      <c r="BW12" s="29">
        <v>2.2464000000000001E-2</v>
      </c>
      <c r="BX12" s="29">
        <v>0</v>
      </c>
      <c r="BY12" s="30"/>
    </row>
    <row r="13" spans="1:77" ht="15" thickBot="1" x14ac:dyDescent="0.4">
      <c r="A13" s="13" t="s">
        <v>11</v>
      </c>
      <c r="B13" s="5">
        <v>0.25433333333333336</v>
      </c>
      <c r="C13" s="4">
        <v>0.22533333333333333</v>
      </c>
      <c r="D13" s="4">
        <v>0.12033333333333333</v>
      </c>
      <c r="E13" s="4">
        <v>0.13699999999999998</v>
      </c>
      <c r="F13" s="4">
        <v>0.12833333333333333</v>
      </c>
      <c r="G13" s="4">
        <v>3.6999999999999998E-2</v>
      </c>
      <c r="H13" s="4">
        <v>2.7633333333333333E-2</v>
      </c>
      <c r="I13" s="4">
        <v>3.8666666666666669E-2</v>
      </c>
      <c r="J13" s="4">
        <v>6.3793333333333342</v>
      </c>
      <c r="K13" s="4">
        <v>0.64800000000000002</v>
      </c>
      <c r="L13" s="4">
        <v>0.7583333333333333</v>
      </c>
      <c r="M13" s="4">
        <v>0.69666666666666666</v>
      </c>
      <c r="N13" s="4">
        <v>7.6333333333333336E-2</v>
      </c>
      <c r="O13" s="4">
        <v>0.20133333333333334</v>
      </c>
      <c r="P13" s="4">
        <v>0.3106666666666667</v>
      </c>
      <c r="Q13" s="4">
        <v>9.9333333333333329E-2</v>
      </c>
      <c r="R13" s="4">
        <v>0.124</v>
      </c>
      <c r="S13" s="4">
        <v>5.3999999999999999E-2</v>
      </c>
      <c r="T13" s="4">
        <v>9.4666666666666663E-2</v>
      </c>
      <c r="U13" s="4">
        <v>0.45033333333333331</v>
      </c>
      <c r="V13" s="4">
        <v>0.69399999999999995</v>
      </c>
      <c r="W13" s="4">
        <v>5.5120000000000005</v>
      </c>
      <c r="X13" s="4">
        <v>2.8033333333333332</v>
      </c>
      <c r="Y13" s="4">
        <v>2.0609999999999999</v>
      </c>
      <c r="Z13" s="4">
        <v>0.82233333333333336</v>
      </c>
      <c r="AA13" s="4">
        <v>2.3913333333333333</v>
      </c>
      <c r="AB13" s="4">
        <v>9.0466666666666669</v>
      </c>
      <c r="AC13" s="4">
        <v>0.78100000000000003</v>
      </c>
      <c r="AD13" s="4">
        <v>7.2930000000000001</v>
      </c>
      <c r="AE13" s="4">
        <v>1.2853333333333332</v>
      </c>
      <c r="AF13" s="4">
        <v>3.7100000000000004</v>
      </c>
      <c r="AG13" s="4">
        <v>2.2799999999999998</v>
      </c>
      <c r="AH13" s="4">
        <v>0.96533333333333327</v>
      </c>
      <c r="AI13" s="4">
        <v>0.54566666666666663</v>
      </c>
      <c r="AJ13" s="4">
        <v>0.52566666666666662</v>
      </c>
      <c r="AK13" s="4">
        <v>0.78866666666666674</v>
      </c>
      <c r="AL13" s="4">
        <v>6.4329999999999998</v>
      </c>
      <c r="AM13" s="4">
        <v>4.1093333333333328</v>
      </c>
      <c r="AN13" s="4">
        <v>3.2029999999999998</v>
      </c>
      <c r="AO13" s="4">
        <v>0.6243333333333333</v>
      </c>
      <c r="AP13" s="4">
        <v>2.2173333333333334</v>
      </c>
      <c r="AQ13" s="4">
        <v>2.9803333333333337</v>
      </c>
      <c r="AR13" s="4">
        <v>2.3166666666666669</v>
      </c>
      <c r="AS13" s="4">
        <v>1.028</v>
      </c>
      <c r="AT13" s="4">
        <v>0.42433333333333328</v>
      </c>
      <c r="AU13" s="4">
        <v>0.24033333333333332</v>
      </c>
      <c r="AV13" s="4">
        <v>0.17400000000000002</v>
      </c>
      <c r="AW13" s="4">
        <v>0.24433333333333332</v>
      </c>
      <c r="AX13" s="4">
        <v>0.15633333333333332</v>
      </c>
      <c r="AY13" s="4">
        <v>1.2843333333333333</v>
      </c>
      <c r="AZ13" s="4">
        <v>0.70066666666666666</v>
      </c>
      <c r="BA13" s="4">
        <v>0.12666666666666668</v>
      </c>
      <c r="BB13" s="4">
        <v>0.31133333333333335</v>
      </c>
      <c r="BC13" s="4">
        <v>1.1386666666666667</v>
      </c>
      <c r="BD13" s="4">
        <v>4.2873333333333337</v>
      </c>
      <c r="BE13" s="4">
        <v>1.3076666666666668</v>
      </c>
      <c r="BF13" s="4">
        <v>0.35400000000000004</v>
      </c>
      <c r="BG13" s="4">
        <v>1.7523333333333333</v>
      </c>
      <c r="BH13" s="4">
        <v>5.1116666666666672</v>
      </c>
      <c r="BI13" s="4">
        <v>1.2113333333333334</v>
      </c>
      <c r="BJ13" s="4">
        <v>6.5523333333333333</v>
      </c>
      <c r="BK13" s="4">
        <v>0.91033333333333333</v>
      </c>
      <c r="BL13" s="4">
        <v>0.20366666666666666</v>
      </c>
      <c r="BM13" s="4">
        <v>2.0286666666666666</v>
      </c>
      <c r="BN13" s="4">
        <v>0.997</v>
      </c>
      <c r="BO13" s="4">
        <v>1.1866666666666668</v>
      </c>
      <c r="BP13" s="4">
        <v>2.2786666666666666</v>
      </c>
      <c r="BQ13" s="4">
        <v>3.452</v>
      </c>
      <c r="BR13" s="4">
        <v>4.4939999999999998</v>
      </c>
      <c r="BS13" s="4">
        <v>0.34433333333333332</v>
      </c>
      <c r="BT13" s="4">
        <v>7.8335999999999989E-2</v>
      </c>
      <c r="BU13" s="35">
        <v>2.7648000000000002E-2</v>
      </c>
      <c r="BV13" s="35">
        <v>0.21081599999999995</v>
      </c>
      <c r="BW13" s="35">
        <v>1.0944000000000001E-2</v>
      </c>
      <c r="BX13" s="35">
        <v>2.3904000000000002E-2</v>
      </c>
      <c r="BY13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3"/>
  <sheetViews>
    <sheetView workbookViewId="0">
      <selection activeCell="A19" sqref="A19"/>
    </sheetView>
  </sheetViews>
  <sheetFormatPr baseColWidth="10" defaultRowHeight="14.5" x14ac:dyDescent="0.35"/>
  <sheetData>
    <row r="1" spans="1:77" ht="15" thickBot="1" x14ac:dyDescent="0.4">
      <c r="A1" s="14" t="s">
        <v>17</v>
      </c>
      <c r="B1" s="8">
        <v>1950</v>
      </c>
      <c r="C1" s="9">
        <v>1951</v>
      </c>
      <c r="D1" s="9">
        <v>1952</v>
      </c>
      <c r="E1" s="9">
        <v>1953</v>
      </c>
      <c r="F1" s="9">
        <v>1954</v>
      </c>
      <c r="G1" s="9">
        <v>1955</v>
      </c>
      <c r="H1" s="9">
        <v>1956</v>
      </c>
      <c r="I1" s="9">
        <v>1957</v>
      </c>
      <c r="J1" s="9">
        <v>1958</v>
      </c>
      <c r="K1" s="9">
        <v>1959</v>
      </c>
      <c r="L1" s="9">
        <v>1960</v>
      </c>
      <c r="M1" s="9">
        <v>1961</v>
      </c>
      <c r="N1" s="9">
        <v>1962</v>
      </c>
      <c r="O1" s="9">
        <v>1963</v>
      </c>
      <c r="P1" s="9">
        <v>1964</v>
      </c>
      <c r="Q1" s="9">
        <v>1965</v>
      </c>
      <c r="R1" s="9">
        <v>1966</v>
      </c>
      <c r="S1" s="9">
        <v>1967</v>
      </c>
      <c r="T1" s="9">
        <v>1968</v>
      </c>
      <c r="U1" s="9">
        <v>1969</v>
      </c>
      <c r="V1" s="9">
        <v>1970</v>
      </c>
      <c r="W1" s="9">
        <v>1971</v>
      </c>
      <c r="X1" s="9">
        <v>1972</v>
      </c>
      <c r="Y1" s="9">
        <v>1973</v>
      </c>
      <c r="Z1" s="9">
        <v>1974</v>
      </c>
      <c r="AA1" s="9">
        <v>1975</v>
      </c>
      <c r="AB1" s="9">
        <v>1976</v>
      </c>
      <c r="AC1" s="9">
        <v>1977</v>
      </c>
      <c r="AD1" s="9">
        <v>1978</v>
      </c>
      <c r="AE1" s="9">
        <v>1979</v>
      </c>
      <c r="AF1" s="9">
        <v>1980</v>
      </c>
      <c r="AG1" s="9">
        <v>1981</v>
      </c>
      <c r="AH1" s="9">
        <v>1982</v>
      </c>
      <c r="AI1" s="9">
        <v>1983</v>
      </c>
      <c r="AJ1" s="9">
        <v>1984</v>
      </c>
      <c r="AK1" s="9">
        <v>1985</v>
      </c>
      <c r="AL1" s="9">
        <v>1986</v>
      </c>
      <c r="AM1" s="9">
        <v>1987</v>
      </c>
      <c r="AN1" s="9">
        <v>1988</v>
      </c>
      <c r="AO1" s="9">
        <v>1989</v>
      </c>
      <c r="AP1" s="9">
        <v>1990</v>
      </c>
      <c r="AQ1" s="9">
        <v>1991</v>
      </c>
      <c r="AR1" s="9">
        <v>1992</v>
      </c>
      <c r="AS1" s="9">
        <v>1993</v>
      </c>
      <c r="AT1" s="9">
        <v>1994</v>
      </c>
      <c r="AU1" s="9">
        <v>1995</v>
      </c>
      <c r="AV1" s="9">
        <v>1996</v>
      </c>
      <c r="AW1" s="9">
        <v>1997</v>
      </c>
      <c r="AX1" s="9">
        <v>1998</v>
      </c>
      <c r="AY1" s="9">
        <v>1999</v>
      </c>
      <c r="AZ1" s="9">
        <v>2000</v>
      </c>
      <c r="BA1" s="9">
        <v>2001</v>
      </c>
      <c r="BB1" s="9">
        <v>2002</v>
      </c>
      <c r="BC1" s="9">
        <v>2003</v>
      </c>
      <c r="BD1" s="9">
        <v>2004</v>
      </c>
      <c r="BE1" s="9">
        <v>2005</v>
      </c>
      <c r="BF1" s="9">
        <v>2006</v>
      </c>
      <c r="BG1" s="9">
        <v>2007</v>
      </c>
      <c r="BH1" s="9">
        <v>2008</v>
      </c>
      <c r="BI1" s="9">
        <v>2009</v>
      </c>
      <c r="BJ1" s="9">
        <v>2010</v>
      </c>
      <c r="BK1" s="9">
        <v>2011</v>
      </c>
      <c r="BL1" s="9">
        <v>2012</v>
      </c>
      <c r="BM1" s="9">
        <v>2013</v>
      </c>
      <c r="BN1" s="9">
        <v>2014</v>
      </c>
      <c r="BO1" s="9">
        <v>2015</v>
      </c>
      <c r="BP1" s="9">
        <v>2016</v>
      </c>
      <c r="BQ1" s="9">
        <v>2017</v>
      </c>
      <c r="BR1" s="9">
        <v>2018</v>
      </c>
      <c r="BS1" s="9">
        <v>2019</v>
      </c>
      <c r="BT1" s="9">
        <v>2020</v>
      </c>
      <c r="BU1" s="9">
        <v>2021</v>
      </c>
      <c r="BV1" s="9">
        <v>2022</v>
      </c>
      <c r="BW1" s="9">
        <v>2023</v>
      </c>
      <c r="BX1" s="9">
        <v>2024</v>
      </c>
      <c r="BY1" s="10">
        <v>2025</v>
      </c>
    </row>
    <row r="2" spans="1:77" x14ac:dyDescent="0.35">
      <c r="A2" s="11" t="s">
        <v>0</v>
      </c>
      <c r="B2" s="6"/>
      <c r="C2" s="7">
        <v>0.25133333333333335</v>
      </c>
      <c r="D2" s="7">
        <v>0.27300000000000002</v>
      </c>
      <c r="E2" s="7">
        <v>0</v>
      </c>
      <c r="F2" s="7">
        <v>2.9999999999999996E-3</v>
      </c>
      <c r="G2" s="7">
        <v>0</v>
      </c>
      <c r="H2" s="7">
        <v>1.1533333333333333E-3</v>
      </c>
      <c r="I2" s="7">
        <v>0</v>
      </c>
      <c r="J2" s="7">
        <v>2.8593333333333333</v>
      </c>
      <c r="K2" s="7">
        <v>23.463333333333335</v>
      </c>
      <c r="L2" s="7">
        <v>1.0773333333333335</v>
      </c>
      <c r="M2" s="7">
        <v>1.9123333333333334</v>
      </c>
      <c r="N2" s="7">
        <v>0.156</v>
      </c>
      <c r="O2" s="7">
        <v>9.1666666666666674E-2</v>
      </c>
      <c r="P2" s="7">
        <v>6.3333333333333332E-3</v>
      </c>
      <c r="Q2" s="7">
        <v>0</v>
      </c>
      <c r="R2" s="7">
        <v>0.41666666666666669</v>
      </c>
      <c r="S2" s="7">
        <v>8.0333333333333326E-2</v>
      </c>
      <c r="T2" s="7">
        <v>6.1393333333333331</v>
      </c>
      <c r="U2" s="7">
        <v>1.429</v>
      </c>
      <c r="V2" s="7">
        <v>1.4509999999999998</v>
      </c>
      <c r="W2" s="7">
        <v>4.7666666666666663E-2</v>
      </c>
      <c r="X2" s="7">
        <v>20.888666666666666</v>
      </c>
      <c r="Y2" s="7">
        <v>3.8736666666666668</v>
      </c>
      <c r="Z2" s="7">
        <v>6.166666666666667</v>
      </c>
      <c r="AA2" s="7">
        <v>2.2109999999999999</v>
      </c>
      <c r="AB2" s="7">
        <v>3.73</v>
      </c>
      <c r="AC2" s="7">
        <v>24.592333333333332</v>
      </c>
      <c r="AD2" s="7">
        <v>1.7803333333333333</v>
      </c>
      <c r="AE2" s="7">
        <v>24.093999999999998</v>
      </c>
      <c r="AF2" s="7">
        <v>1.4686666666666666</v>
      </c>
      <c r="AG2" s="7">
        <v>3.0239999999999996</v>
      </c>
      <c r="AH2" s="7">
        <v>3.0226666666666664</v>
      </c>
      <c r="AI2" s="7">
        <v>2.1910000000000003</v>
      </c>
      <c r="AJ2" s="7">
        <v>0.94933333333333325</v>
      </c>
      <c r="AK2" s="7">
        <v>1.6769999999999998</v>
      </c>
      <c r="AL2" s="7">
        <v>1.4400000000000001E-2</v>
      </c>
      <c r="AM2" s="7">
        <v>0.30199999999999999</v>
      </c>
      <c r="AN2" s="7">
        <v>0.86366666666666669</v>
      </c>
      <c r="AO2" s="7">
        <v>4.2589999999999995</v>
      </c>
      <c r="AP2" s="7">
        <v>1.0286666666666666</v>
      </c>
      <c r="AQ2" s="7">
        <v>0.91733333333333322</v>
      </c>
      <c r="AR2" s="7">
        <v>1.1143333333333334</v>
      </c>
      <c r="AS2" s="7">
        <v>0.6133333333333334</v>
      </c>
      <c r="AT2" s="7">
        <v>0.61266666666666669</v>
      </c>
      <c r="AU2" s="7">
        <v>0.31666666666666665</v>
      </c>
      <c r="AV2" s="7">
        <v>3.3133333333333334E-2</v>
      </c>
      <c r="AW2" s="7">
        <v>0</v>
      </c>
      <c r="AX2" s="7">
        <v>0</v>
      </c>
      <c r="AY2" s="7">
        <v>0</v>
      </c>
      <c r="AZ2" s="7">
        <v>0</v>
      </c>
      <c r="BA2" s="7">
        <v>8.0776666666666674</v>
      </c>
      <c r="BB2" s="7">
        <v>0</v>
      </c>
      <c r="BC2" s="7">
        <v>1.181</v>
      </c>
      <c r="BD2" s="7">
        <v>1.6686666666666667</v>
      </c>
      <c r="BE2" s="7">
        <v>1.6653333333333336</v>
      </c>
      <c r="BF2" s="7">
        <v>1.8129999999999999</v>
      </c>
      <c r="BG2" s="7">
        <v>1.46</v>
      </c>
      <c r="BH2" s="7">
        <v>1.0813333333333335</v>
      </c>
      <c r="BI2" s="7">
        <v>40.354666666666667</v>
      </c>
      <c r="BJ2" s="7">
        <v>1.9419999999999999</v>
      </c>
      <c r="BK2" s="7">
        <v>31.674333333333333</v>
      </c>
      <c r="BL2" s="7">
        <v>2.302</v>
      </c>
      <c r="BM2" s="7">
        <v>0.78766666666666663</v>
      </c>
      <c r="BN2" s="7">
        <v>4.7293333333333338</v>
      </c>
      <c r="BO2" s="7">
        <v>3.5169999999999999</v>
      </c>
      <c r="BP2" s="7">
        <v>8.4193333333333324</v>
      </c>
      <c r="BQ2" s="7">
        <v>2.9536666666666669</v>
      </c>
      <c r="BR2" s="7">
        <v>3.9106666666666663</v>
      </c>
      <c r="BS2" s="7">
        <v>1.8136666666666665</v>
      </c>
      <c r="BT2" s="7">
        <v>0.15633333333333332</v>
      </c>
      <c r="BU2" s="31">
        <v>0.88243200000000011</v>
      </c>
      <c r="BV2" s="31">
        <v>0</v>
      </c>
      <c r="BW2" s="31">
        <v>0</v>
      </c>
      <c r="BX2" s="31">
        <v>0</v>
      </c>
      <c r="BY2" s="32">
        <v>1.5963840000000005</v>
      </c>
    </row>
    <row r="3" spans="1:77" x14ac:dyDescent="0.35">
      <c r="A3" s="12" t="s">
        <v>1</v>
      </c>
      <c r="B3" s="3">
        <v>0.153</v>
      </c>
      <c r="C3" s="2">
        <v>0.152</v>
      </c>
      <c r="D3" s="2">
        <v>3.1666666666666669E-2</v>
      </c>
      <c r="E3" s="2">
        <v>0</v>
      </c>
      <c r="F3" s="2">
        <v>1.6666666666666668E-3</v>
      </c>
      <c r="G3" s="2">
        <v>0</v>
      </c>
      <c r="H3" s="2">
        <v>0</v>
      </c>
      <c r="I3" s="2">
        <v>0.6173333333333334</v>
      </c>
      <c r="J3" s="2">
        <v>0.219</v>
      </c>
      <c r="K3" s="2">
        <v>27.498333333333335</v>
      </c>
      <c r="L3" s="2">
        <v>0.90633333333333332</v>
      </c>
      <c r="M3" s="2">
        <v>0.63400000000000001</v>
      </c>
      <c r="N3" s="2">
        <v>1.0066666666666666E-2</v>
      </c>
      <c r="O3" s="2">
        <v>4.0333333333333332E-3</v>
      </c>
      <c r="P3" s="2">
        <v>0</v>
      </c>
      <c r="Q3" s="2">
        <v>0</v>
      </c>
      <c r="R3" s="2">
        <v>0.41933333333333334</v>
      </c>
      <c r="S3" s="2">
        <v>0</v>
      </c>
      <c r="T3" s="2">
        <v>3.9733333333333332</v>
      </c>
      <c r="U3" s="2">
        <v>1.0996666666666666</v>
      </c>
      <c r="V3" s="2">
        <v>0.443</v>
      </c>
      <c r="W3" s="2">
        <v>2.7366666666666668E-2</v>
      </c>
      <c r="X3" s="2">
        <v>15.079666666666666</v>
      </c>
      <c r="Y3" s="2">
        <v>3.5920000000000001</v>
      </c>
      <c r="Z3" s="2">
        <v>4.4906666666666668</v>
      </c>
      <c r="AA3" s="2">
        <v>1.3203333333333334</v>
      </c>
      <c r="AB3" s="2">
        <v>2.3210000000000002</v>
      </c>
      <c r="AC3" s="2">
        <v>21.939999999999998</v>
      </c>
      <c r="AD3" s="2">
        <v>1.4989999999999999</v>
      </c>
      <c r="AE3" s="2">
        <v>9.6519999999999992</v>
      </c>
      <c r="AF3" s="2">
        <v>1.2889999999999999</v>
      </c>
      <c r="AG3" s="2">
        <v>7.6386666666666665</v>
      </c>
      <c r="AH3" s="2">
        <v>3.2143333333333337</v>
      </c>
      <c r="AI3" s="2">
        <v>4.1336666666666666</v>
      </c>
      <c r="AJ3" s="2">
        <v>1.0766666666666667</v>
      </c>
      <c r="AK3" s="2">
        <v>0.28233333333333333</v>
      </c>
      <c r="AL3" s="2">
        <v>0</v>
      </c>
      <c r="AM3" s="2">
        <v>2.2163333333333335</v>
      </c>
      <c r="AN3" s="2">
        <v>0.77366666666666672</v>
      </c>
      <c r="AO3" s="2">
        <v>3.7473333333333336</v>
      </c>
      <c r="AP3" s="2">
        <v>1.8089999999999999</v>
      </c>
      <c r="AQ3" s="2">
        <v>0.58266666666666667</v>
      </c>
      <c r="AR3" s="2">
        <v>0.83266666666666678</v>
      </c>
      <c r="AS3" s="2">
        <v>0.45466666666666672</v>
      </c>
      <c r="AT3" s="2">
        <v>0.44466666666666671</v>
      </c>
      <c r="AU3" s="2">
        <v>2.6800000000000001E-2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0.57333333333333336</v>
      </c>
      <c r="BB3" s="2">
        <v>0</v>
      </c>
      <c r="BC3" s="2">
        <v>1.1526666666666667</v>
      </c>
      <c r="BD3" s="2">
        <v>1.3953333333333333</v>
      </c>
      <c r="BE3" s="2">
        <v>1.5436666666666667</v>
      </c>
      <c r="BF3" s="2">
        <v>1.5533333333333335</v>
      </c>
      <c r="BG3" s="2">
        <v>1.1916666666666667</v>
      </c>
      <c r="BH3" s="2">
        <v>0.73799999999999999</v>
      </c>
      <c r="BI3" s="2">
        <v>17.334666666666667</v>
      </c>
      <c r="BJ3" s="2">
        <v>1.7836666666666667</v>
      </c>
      <c r="BK3" s="2">
        <v>33.148666666666664</v>
      </c>
      <c r="BL3" s="2">
        <v>2.3370000000000002</v>
      </c>
      <c r="BM3" s="2">
        <v>0.56166666666666665</v>
      </c>
      <c r="BN3" s="2">
        <v>3.4133333333333336</v>
      </c>
      <c r="BO3" s="2">
        <v>2.4119999999999999</v>
      </c>
      <c r="BP3" s="2">
        <v>1.595</v>
      </c>
      <c r="BQ3" s="2">
        <v>2.4163333333333332</v>
      </c>
      <c r="BR3" s="2">
        <v>3.0016666666666669</v>
      </c>
      <c r="BS3" s="2">
        <v>1.6296666666666668</v>
      </c>
      <c r="BT3" s="2">
        <v>0.16633333333333333</v>
      </c>
      <c r="BU3" s="29">
        <v>0.62063999999999997</v>
      </c>
      <c r="BV3" s="29">
        <v>0</v>
      </c>
      <c r="BW3" s="29">
        <v>0</v>
      </c>
      <c r="BX3" s="29">
        <v>0</v>
      </c>
      <c r="BY3" s="30">
        <v>1.2764159999999998</v>
      </c>
    </row>
    <row r="4" spans="1:77" x14ac:dyDescent="0.35">
      <c r="A4" s="12" t="s">
        <v>2</v>
      </c>
      <c r="B4" s="3">
        <v>0.39966666666666667</v>
      </c>
      <c r="C4" s="2">
        <v>2.2563333333333335</v>
      </c>
      <c r="D4" s="2">
        <v>0</v>
      </c>
      <c r="E4" s="2">
        <v>0.48966666666666669</v>
      </c>
      <c r="F4" s="2">
        <v>0</v>
      </c>
      <c r="G4" s="2">
        <v>0</v>
      </c>
      <c r="H4" s="2">
        <v>0</v>
      </c>
      <c r="I4" s="2">
        <v>0.44800000000000001</v>
      </c>
      <c r="J4" s="2">
        <v>1.7266666666666665E-3</v>
      </c>
      <c r="K4" s="2">
        <v>12.209333333333333</v>
      </c>
      <c r="L4" s="2">
        <v>0.51466666666666672</v>
      </c>
      <c r="M4" s="2">
        <v>1.9599999999999999E-2</v>
      </c>
      <c r="N4" s="2">
        <v>0</v>
      </c>
      <c r="O4" s="2">
        <v>0</v>
      </c>
      <c r="P4" s="2">
        <v>0</v>
      </c>
      <c r="Q4" s="2">
        <v>9.3000000000000013E-2</v>
      </c>
      <c r="R4" s="2">
        <v>6.2E-2</v>
      </c>
      <c r="S4" s="2">
        <v>4.4333333333333336E-2</v>
      </c>
      <c r="T4" s="2">
        <v>3.8086666666666669</v>
      </c>
      <c r="U4" s="2">
        <v>0.92099999999999993</v>
      </c>
      <c r="V4" s="2">
        <v>0.33266666666666667</v>
      </c>
      <c r="W4" s="2">
        <v>0.19466666666666665</v>
      </c>
      <c r="X4" s="2">
        <v>10.568333333333333</v>
      </c>
      <c r="Y4" s="2">
        <v>3.2893333333333334</v>
      </c>
      <c r="Z4" s="2">
        <v>5.9936666666666669</v>
      </c>
      <c r="AA4" s="2">
        <v>1.7649999999999999</v>
      </c>
      <c r="AB4" s="2">
        <v>2.6586666666666665</v>
      </c>
      <c r="AC4" s="2">
        <v>7.5103333333333326</v>
      </c>
      <c r="AD4" s="2">
        <v>1.5279999999999998</v>
      </c>
      <c r="AE4" s="2">
        <v>4.7329999999999997</v>
      </c>
      <c r="AF4" s="2">
        <v>1.1460000000000001</v>
      </c>
      <c r="AG4" s="2">
        <v>3.7486666666666668</v>
      </c>
      <c r="AH4" s="2">
        <v>3.0596666666666668</v>
      </c>
      <c r="AI4" s="2">
        <v>2.7983333333333333</v>
      </c>
      <c r="AJ4" s="2">
        <v>0.54466666666666663</v>
      </c>
      <c r="AK4" s="2">
        <v>0</v>
      </c>
      <c r="AL4" s="2">
        <v>0</v>
      </c>
      <c r="AM4" s="2">
        <v>1.0133333333333334</v>
      </c>
      <c r="AN4" s="2">
        <v>0.32300000000000001</v>
      </c>
      <c r="AO4" s="2">
        <v>3.0990000000000002</v>
      </c>
      <c r="AP4" s="2">
        <v>1.9346666666666668</v>
      </c>
      <c r="AQ4" s="2">
        <v>0.25933333333333336</v>
      </c>
      <c r="AR4" s="2">
        <v>0.19966666666666666</v>
      </c>
      <c r="AS4" s="2">
        <v>0.60033333333333327</v>
      </c>
      <c r="AT4" s="2">
        <v>0.27533333333333332</v>
      </c>
      <c r="AU4" s="2">
        <v>2.0166666666666666E-3</v>
      </c>
      <c r="AV4" s="2">
        <v>0</v>
      </c>
      <c r="AW4" s="2">
        <v>5.6109999999999998</v>
      </c>
      <c r="AX4" s="2">
        <v>0</v>
      </c>
      <c r="AY4" s="2">
        <v>3.1686666666666667</v>
      </c>
      <c r="AZ4" s="2">
        <v>0</v>
      </c>
      <c r="BA4" s="2">
        <v>1.381</v>
      </c>
      <c r="BB4" s="2">
        <v>0</v>
      </c>
      <c r="BC4" s="2">
        <v>0.80699999999999994</v>
      </c>
      <c r="BD4" s="2">
        <v>1.4749999999999999</v>
      </c>
      <c r="BE4" s="2">
        <v>1.3413333333333333</v>
      </c>
      <c r="BF4" s="2">
        <v>1.4733333333333334</v>
      </c>
      <c r="BG4" s="2">
        <v>0.81599999999999995</v>
      </c>
      <c r="BH4" s="2">
        <v>0.56399999999999995</v>
      </c>
      <c r="BI4" s="2">
        <v>7.1773333333333333</v>
      </c>
      <c r="BJ4" s="2">
        <v>1.7300000000000002</v>
      </c>
      <c r="BK4" s="2">
        <v>37.699333333333335</v>
      </c>
      <c r="BL4" s="2">
        <v>2.1726666666666667</v>
      </c>
      <c r="BM4" s="2">
        <v>0.58433333333333326</v>
      </c>
      <c r="BN4" s="2">
        <v>3.0396666666666667</v>
      </c>
      <c r="BO4" s="2">
        <v>3.2066666666666666</v>
      </c>
      <c r="BP4" s="2">
        <v>4.9489999999999998</v>
      </c>
      <c r="BQ4" s="2">
        <v>1.881</v>
      </c>
      <c r="BR4" s="2">
        <v>2.1080000000000001</v>
      </c>
      <c r="BS4" s="2">
        <v>1.405</v>
      </c>
      <c r="BT4" s="2">
        <v>12.577</v>
      </c>
      <c r="BU4" s="29">
        <v>0.33983999999999986</v>
      </c>
      <c r="BV4" s="29">
        <v>0</v>
      </c>
      <c r="BW4" s="29">
        <v>0</v>
      </c>
      <c r="BX4" s="29">
        <v>3.1043520000000004</v>
      </c>
      <c r="BY4" s="30">
        <v>10.082879999999999</v>
      </c>
    </row>
    <row r="5" spans="1:77" x14ac:dyDescent="0.35">
      <c r="A5" s="12" t="s">
        <v>3</v>
      </c>
      <c r="B5" s="3">
        <v>1.0436666666666667</v>
      </c>
      <c r="C5" s="2">
        <v>1.3076666666666668</v>
      </c>
      <c r="D5" s="2">
        <v>0</v>
      </c>
      <c r="E5" s="2">
        <v>5.6386666666666665</v>
      </c>
      <c r="F5" s="2">
        <v>7.937333333333334</v>
      </c>
      <c r="G5" s="2">
        <v>0</v>
      </c>
      <c r="H5" s="2">
        <v>0</v>
      </c>
      <c r="I5" s="2">
        <v>1.2223333333333333</v>
      </c>
      <c r="J5" s="2">
        <v>0</v>
      </c>
      <c r="K5" s="2">
        <v>4.5709999999999997</v>
      </c>
      <c r="L5" s="2">
        <v>0.67033333333333334</v>
      </c>
      <c r="M5" s="2">
        <v>1.7606666666666666</v>
      </c>
      <c r="N5" s="2">
        <v>1.3456666666666666</v>
      </c>
      <c r="O5" s="2">
        <v>0.61166666666666669</v>
      </c>
      <c r="P5" s="2">
        <v>0</v>
      </c>
      <c r="Q5" s="2">
        <v>1.0896666666666668</v>
      </c>
      <c r="R5" s="2">
        <v>6.9363333333333337</v>
      </c>
      <c r="S5" s="2">
        <v>2.3833333333333333</v>
      </c>
      <c r="T5" s="2">
        <v>4.6176666666666666</v>
      </c>
      <c r="U5" s="2">
        <v>1.9349999999999998</v>
      </c>
      <c r="V5" s="2">
        <v>0.48599999999999999</v>
      </c>
      <c r="W5" s="2">
        <v>0</v>
      </c>
      <c r="X5" s="2">
        <v>9.043000000000001</v>
      </c>
      <c r="Y5" s="2">
        <v>2.4193333333333333</v>
      </c>
      <c r="Z5" s="2">
        <v>3.33</v>
      </c>
      <c r="AA5" s="2">
        <v>1.2926666666666666</v>
      </c>
      <c r="AB5" s="2">
        <v>6.5153333333333334</v>
      </c>
      <c r="AC5" s="2">
        <v>4.2783333333333333</v>
      </c>
      <c r="AD5" s="2">
        <v>0.9913333333333334</v>
      </c>
      <c r="AE5" s="2">
        <v>8.1189999999999998</v>
      </c>
      <c r="AF5" s="2">
        <v>1.3006666666666666</v>
      </c>
      <c r="AG5" s="2">
        <v>83.457666666666668</v>
      </c>
      <c r="AH5" s="2">
        <v>6.2736666666666672</v>
      </c>
      <c r="AI5" s="2">
        <v>1.917</v>
      </c>
      <c r="AJ5" s="2">
        <v>0.84</v>
      </c>
      <c r="AK5" s="2">
        <v>10.413666666666666</v>
      </c>
      <c r="AL5" s="2">
        <v>0.65966666666666673</v>
      </c>
      <c r="AM5" s="2">
        <v>1.0383333333333333</v>
      </c>
      <c r="AN5" s="2">
        <v>0.68233333333333335</v>
      </c>
      <c r="AO5" s="2">
        <v>2.9996666666666667</v>
      </c>
      <c r="AP5" s="2">
        <v>1.8216666666666665</v>
      </c>
      <c r="AQ5" s="2">
        <v>0.38466666666666666</v>
      </c>
      <c r="AR5" s="2">
        <v>1.9530000000000001</v>
      </c>
      <c r="AS5" s="2">
        <v>0.70833333333333337</v>
      </c>
      <c r="AT5" s="2">
        <v>0.44366666666666665</v>
      </c>
      <c r="AU5" s="2">
        <v>0</v>
      </c>
      <c r="AV5" s="2">
        <v>0</v>
      </c>
      <c r="AW5" s="2">
        <v>1.0616666666666668</v>
      </c>
      <c r="AX5" s="2">
        <v>0</v>
      </c>
      <c r="AY5" s="2">
        <v>0.23433333333333331</v>
      </c>
      <c r="AZ5" s="2">
        <v>0.56166666666666665</v>
      </c>
      <c r="BA5" s="2">
        <v>18.788999999999998</v>
      </c>
      <c r="BB5" s="2">
        <v>0</v>
      </c>
      <c r="BC5" s="2">
        <v>0.27899999999999997</v>
      </c>
      <c r="BD5" s="2">
        <v>8.0436666666666667</v>
      </c>
      <c r="BE5" s="2">
        <v>0.23599999999999999</v>
      </c>
      <c r="BF5" s="2">
        <v>1.3966666666666667</v>
      </c>
      <c r="BG5" s="2">
        <v>0.93933333333333335</v>
      </c>
      <c r="BH5" s="2">
        <v>0.18966666666666665</v>
      </c>
      <c r="BI5" s="2">
        <v>4.5563333333333338</v>
      </c>
      <c r="BJ5" s="2">
        <v>17.352999999999998</v>
      </c>
      <c r="BK5" s="2">
        <v>4.7703333333333333</v>
      </c>
      <c r="BL5" s="2">
        <v>1.4259999999999999</v>
      </c>
      <c r="BM5" s="2">
        <v>2.5920000000000001</v>
      </c>
      <c r="BN5" s="2">
        <v>1.899</v>
      </c>
      <c r="BO5" s="2">
        <v>5.873333333333334</v>
      </c>
      <c r="BP5" s="2">
        <v>1.4610000000000001</v>
      </c>
      <c r="BQ5" s="2">
        <v>2.1086666666666667</v>
      </c>
      <c r="BR5" s="2">
        <v>1.3203333333333334</v>
      </c>
      <c r="BS5" s="2">
        <v>0.64700000000000002</v>
      </c>
      <c r="BT5" s="2">
        <v>0.69099999999999995</v>
      </c>
      <c r="BU5" s="29">
        <v>8.9855999999999991E-2</v>
      </c>
      <c r="BV5" s="29">
        <v>0</v>
      </c>
      <c r="BW5" s="29">
        <v>0</v>
      </c>
      <c r="BX5" s="29">
        <v>4.0319999999999995E-2</v>
      </c>
      <c r="BY5" s="30">
        <v>1.5456959999999997</v>
      </c>
    </row>
    <row r="6" spans="1:77" x14ac:dyDescent="0.35">
      <c r="A6" s="12" t="s">
        <v>4</v>
      </c>
      <c r="B6" s="3">
        <v>16.100999999999999</v>
      </c>
      <c r="C6" s="2">
        <v>11.54</v>
      </c>
      <c r="D6" s="2">
        <v>5.9856666666666669</v>
      </c>
      <c r="E6" s="2">
        <v>1.9953333333333332</v>
      </c>
      <c r="F6" s="2">
        <v>18.594999999999999</v>
      </c>
      <c r="G6" s="2">
        <v>7.0249999999999995</v>
      </c>
      <c r="H6" s="2">
        <v>1.9883333333333333</v>
      </c>
      <c r="I6" s="2">
        <v>6.0923333333333334</v>
      </c>
      <c r="J6" s="2">
        <v>9.783666666666667</v>
      </c>
      <c r="K6" s="2">
        <v>4.1189999999999998</v>
      </c>
      <c r="L6" s="2">
        <v>0.52200000000000002</v>
      </c>
      <c r="M6" s="2">
        <v>6.3069999999999995</v>
      </c>
      <c r="N6" s="2">
        <v>0.124</v>
      </c>
      <c r="O6" s="2">
        <v>9.5789999999999988</v>
      </c>
      <c r="P6" s="2">
        <v>4.6623333333333337</v>
      </c>
      <c r="Q6" s="2">
        <v>24.934000000000001</v>
      </c>
      <c r="R6" s="2">
        <v>41.494</v>
      </c>
      <c r="S6" s="2">
        <v>0.28799999999999998</v>
      </c>
      <c r="T6" s="2">
        <v>3.0863333333333336</v>
      </c>
      <c r="U6" s="2">
        <v>6.5783333333333331</v>
      </c>
      <c r="V6" s="2">
        <v>1.2783333333333333</v>
      </c>
      <c r="W6" s="2">
        <v>0</v>
      </c>
      <c r="X6" s="2">
        <v>16.572666666666667</v>
      </c>
      <c r="Y6" s="2">
        <v>2.1323333333333334</v>
      </c>
      <c r="Z6" s="2">
        <v>3.347</v>
      </c>
      <c r="AA6" s="2">
        <v>6.2240000000000002</v>
      </c>
      <c r="AB6" s="2">
        <v>4.8823333333333334</v>
      </c>
      <c r="AC6" s="2">
        <v>4.1176666666666666</v>
      </c>
      <c r="AD6" s="2">
        <v>3.0859999999999999</v>
      </c>
      <c r="AE6" s="2">
        <v>3.1053333333333337</v>
      </c>
      <c r="AF6" s="2">
        <v>9.35</v>
      </c>
      <c r="AG6" s="2">
        <v>149.16666666666666</v>
      </c>
      <c r="AH6" s="2">
        <v>21.080000000000002</v>
      </c>
      <c r="AI6" s="2">
        <v>2.1903333333333332</v>
      </c>
      <c r="AJ6" s="2">
        <v>21.239666666666668</v>
      </c>
      <c r="AK6" s="2">
        <v>1.2883333333333333</v>
      </c>
      <c r="AL6" s="2">
        <v>6.1040000000000001</v>
      </c>
      <c r="AM6" s="2">
        <v>5.1456666666666662</v>
      </c>
      <c r="AN6" s="2">
        <v>3.3423333333333329</v>
      </c>
      <c r="AO6" s="2">
        <v>2.0569999999999999</v>
      </c>
      <c r="AP6" s="2">
        <v>1.5693333333333335</v>
      </c>
      <c r="AQ6" s="2">
        <v>4.1996666666666664</v>
      </c>
      <c r="AR6" s="2">
        <v>2.8420000000000001</v>
      </c>
      <c r="AS6" s="2">
        <v>1.5976666666666668</v>
      </c>
      <c r="AT6" s="2">
        <v>1.9160000000000001</v>
      </c>
      <c r="AU6" s="2">
        <v>6.1673333333333327</v>
      </c>
      <c r="AV6" s="2">
        <v>1.6253333333333335</v>
      </c>
      <c r="AW6" s="2">
        <v>6.0596666666666659</v>
      </c>
      <c r="AX6" s="2">
        <v>0</v>
      </c>
      <c r="AY6" s="2">
        <v>1.5110000000000001</v>
      </c>
      <c r="AZ6" s="2">
        <v>5.6426666666666669</v>
      </c>
      <c r="BA6" s="2">
        <v>6.4660000000000002</v>
      </c>
      <c r="BB6" s="2">
        <v>1.0156666666666667</v>
      </c>
      <c r="BC6" s="2">
        <v>8.1666666666666661</v>
      </c>
      <c r="BD6" s="2">
        <v>4.7930000000000001</v>
      </c>
      <c r="BE6" s="2">
        <v>1.385</v>
      </c>
      <c r="BF6" s="2">
        <v>2.4543333333333335</v>
      </c>
      <c r="BG6" s="2">
        <v>4.5190000000000001</v>
      </c>
      <c r="BH6" s="2">
        <v>0.59466666666666668</v>
      </c>
      <c r="BI6" s="2">
        <v>5.0923333333333334</v>
      </c>
      <c r="BJ6" s="2">
        <v>1.8156666666666668</v>
      </c>
      <c r="BK6" s="2">
        <v>2.4413333333333331</v>
      </c>
      <c r="BL6" s="2">
        <v>3.4819999999999998</v>
      </c>
      <c r="BM6" s="2">
        <v>12.519</v>
      </c>
      <c r="BN6" s="2">
        <v>4.2570000000000006</v>
      </c>
      <c r="BO6" s="2">
        <v>2.5070000000000001</v>
      </c>
      <c r="BP6" s="2">
        <v>3.0559999999999996</v>
      </c>
      <c r="BQ6" s="2">
        <v>1.3436666666666666</v>
      </c>
      <c r="BR6" s="2">
        <v>1.8120000000000001</v>
      </c>
      <c r="BS6" s="2">
        <v>1.1043333333333334</v>
      </c>
      <c r="BT6" s="2">
        <v>3.69</v>
      </c>
      <c r="BU6" s="29">
        <v>0.22636800000000004</v>
      </c>
      <c r="BV6" s="29">
        <v>0</v>
      </c>
      <c r="BW6" s="29">
        <v>2.622528</v>
      </c>
      <c r="BX6" s="29">
        <v>0.59040000000000004</v>
      </c>
      <c r="BY6" s="30">
        <v>0.567936</v>
      </c>
    </row>
    <row r="7" spans="1:77" x14ac:dyDescent="0.35">
      <c r="A7" s="12" t="s">
        <v>5</v>
      </c>
      <c r="B7" s="3">
        <v>14.356999999999999</v>
      </c>
      <c r="C7" s="2">
        <v>21.068666666666669</v>
      </c>
      <c r="D7" s="2">
        <v>0.83599999999999997</v>
      </c>
      <c r="E7" s="2">
        <v>0</v>
      </c>
      <c r="F7" s="2">
        <v>0.84266666666666667</v>
      </c>
      <c r="G7" s="2">
        <v>2.0979999999999999</v>
      </c>
      <c r="H7" s="2">
        <v>0</v>
      </c>
      <c r="I7" s="2">
        <v>7.7679999999999998</v>
      </c>
      <c r="J7" s="2">
        <v>6.708333333333333</v>
      </c>
      <c r="K7" s="2">
        <v>2.8893333333333331</v>
      </c>
      <c r="L7" s="2">
        <v>3.1986666666666665</v>
      </c>
      <c r="M7" s="2">
        <v>11.269</v>
      </c>
      <c r="N7" s="2">
        <v>2.7496666666666667</v>
      </c>
      <c r="O7" s="2">
        <v>9.8179999999999996</v>
      </c>
      <c r="P7" s="2">
        <v>4.6640000000000006</v>
      </c>
      <c r="Q7" s="2">
        <v>9.7636666666666674</v>
      </c>
      <c r="R7" s="2">
        <v>2.7686666666666664</v>
      </c>
      <c r="S7" s="2">
        <v>3.3306666666666671</v>
      </c>
      <c r="T7" s="2">
        <v>3.1543333333333332</v>
      </c>
      <c r="U7" s="2">
        <v>3.2333333333333329</v>
      </c>
      <c r="V7" s="2">
        <v>0.24399999999999999</v>
      </c>
      <c r="W7" s="2">
        <v>71.11866666666667</v>
      </c>
      <c r="X7" s="2">
        <v>16.690666666666669</v>
      </c>
      <c r="Y7" s="2">
        <v>39.182000000000002</v>
      </c>
      <c r="Z7" s="2">
        <v>10.730666666666666</v>
      </c>
      <c r="AA7" s="2">
        <v>4.5279999999999996</v>
      </c>
      <c r="AB7" s="2">
        <v>1.8399999999999999</v>
      </c>
      <c r="AC7" s="2">
        <v>3.7913333333333337</v>
      </c>
      <c r="AD7" s="2">
        <v>13.520333333333333</v>
      </c>
      <c r="AE7" s="2">
        <v>45.439</v>
      </c>
      <c r="AF7" s="2">
        <v>1.5843333333333334</v>
      </c>
      <c r="AG7" s="2">
        <v>101.48366666666668</v>
      </c>
      <c r="AH7" s="2">
        <v>4.2993333333333332</v>
      </c>
      <c r="AI7" s="2">
        <v>3.2810000000000001</v>
      </c>
      <c r="AJ7" s="2">
        <v>2.3896666666666664</v>
      </c>
      <c r="AK7" s="2">
        <v>6.980666666666667</v>
      </c>
      <c r="AL7" s="2">
        <v>37.138333333333335</v>
      </c>
      <c r="AM7" s="2">
        <v>5.1640000000000006</v>
      </c>
      <c r="AN7" s="2">
        <v>11.651000000000002</v>
      </c>
      <c r="AO7" s="2">
        <v>2.6030000000000002</v>
      </c>
      <c r="AP7" s="2">
        <v>1.4123333333333334</v>
      </c>
      <c r="AQ7" s="2">
        <v>4.7873333333333337</v>
      </c>
      <c r="AR7" s="2">
        <v>5.4473333333333329</v>
      </c>
      <c r="AS7" s="2">
        <v>7.6113333333333335</v>
      </c>
      <c r="AT7" s="2">
        <v>1.671</v>
      </c>
      <c r="AU7" s="2">
        <v>1.0726666666666667</v>
      </c>
      <c r="AV7" s="2">
        <v>1.4156666666666666</v>
      </c>
      <c r="AW7" s="2">
        <v>2.1363333333333334</v>
      </c>
      <c r="AX7" s="2">
        <v>0</v>
      </c>
      <c r="AY7" s="2">
        <v>5.7139999999999995</v>
      </c>
      <c r="AZ7" s="2">
        <v>2.1023333333333336</v>
      </c>
      <c r="BA7" s="2">
        <v>0.8610000000000001</v>
      </c>
      <c r="BB7" s="2">
        <v>9.799999999999999E-2</v>
      </c>
      <c r="BC7" s="2">
        <v>3.4440000000000004</v>
      </c>
      <c r="BD7" s="2">
        <v>7.7133333333333338</v>
      </c>
      <c r="BE7" s="2">
        <v>2.6800000000000001E-2</v>
      </c>
      <c r="BF7" s="2">
        <v>0.47766666666666668</v>
      </c>
      <c r="BG7" s="2">
        <v>9.2593333333333323</v>
      </c>
      <c r="BH7" s="2">
        <v>0.37999999999999995</v>
      </c>
      <c r="BI7" s="2">
        <v>3.7153333333333336</v>
      </c>
      <c r="BJ7" s="2">
        <v>1.2590000000000001</v>
      </c>
      <c r="BK7" s="2">
        <v>9.3689999999999998</v>
      </c>
      <c r="BL7" s="2">
        <v>3.5906666666666669</v>
      </c>
      <c r="BM7" s="2">
        <v>6.3606666666666669</v>
      </c>
      <c r="BN7" s="2">
        <v>33.04933333333333</v>
      </c>
      <c r="BO7" s="2">
        <v>1.6206666666666667</v>
      </c>
      <c r="BP7" s="2">
        <v>3.4476666666666667</v>
      </c>
      <c r="BQ7" s="2">
        <v>3.0093333333333336</v>
      </c>
      <c r="BR7" s="2">
        <v>0.37166666666666665</v>
      </c>
      <c r="BS7" s="2">
        <v>0.20333333333333334</v>
      </c>
      <c r="BT7" s="2">
        <v>2.6056666666666666</v>
      </c>
      <c r="BU7" s="29">
        <v>1.1594880000000001</v>
      </c>
      <c r="BV7" s="29">
        <v>0</v>
      </c>
      <c r="BW7" s="29">
        <v>0.38995200000000002</v>
      </c>
      <c r="BX7" s="29">
        <v>7.5864960000000004</v>
      </c>
      <c r="BY7" s="30">
        <v>1.1790719999999999</v>
      </c>
    </row>
    <row r="8" spans="1:77" x14ac:dyDescent="0.35">
      <c r="A8" s="12" t="s">
        <v>6</v>
      </c>
      <c r="B8" s="3">
        <v>2.0179999999999998</v>
      </c>
      <c r="C8" s="2">
        <v>0.18733333333333335</v>
      </c>
      <c r="D8" s="2">
        <v>0.13700000000000001</v>
      </c>
      <c r="E8" s="2">
        <v>1.1140000000000001</v>
      </c>
      <c r="F8" s="2">
        <v>3.4999999999999996E-2</v>
      </c>
      <c r="G8" s="2">
        <v>0.08</v>
      </c>
      <c r="H8" s="2">
        <v>0</v>
      </c>
      <c r="I8" s="2">
        <v>0</v>
      </c>
      <c r="J8" s="2">
        <v>7.668333333333333</v>
      </c>
      <c r="K8" s="2">
        <v>5.4729999999999999</v>
      </c>
      <c r="L8" s="2">
        <v>1.3520000000000001</v>
      </c>
      <c r="M8" s="2">
        <v>2.37</v>
      </c>
      <c r="N8" s="2">
        <v>0</v>
      </c>
      <c r="O8" s="2">
        <v>3.7456666666666667</v>
      </c>
      <c r="P8" s="2">
        <v>0.67533333333333323</v>
      </c>
      <c r="Q8" s="2">
        <v>1.3533333333333333E-2</v>
      </c>
      <c r="R8" s="2">
        <v>0.52</v>
      </c>
      <c r="S8" s="2">
        <v>0</v>
      </c>
      <c r="T8" s="2">
        <v>8.5603333333333342</v>
      </c>
      <c r="U8" s="2">
        <v>1.57</v>
      </c>
      <c r="V8" s="2">
        <v>1.0833333333333333</v>
      </c>
      <c r="W8" s="2">
        <v>181.54499999999999</v>
      </c>
      <c r="X8" s="2">
        <v>8.9013333333333335</v>
      </c>
      <c r="Y8" s="2">
        <v>9.0246666666666666</v>
      </c>
      <c r="Z8" s="2">
        <v>1.667</v>
      </c>
      <c r="AA8" s="2">
        <v>35.535000000000004</v>
      </c>
      <c r="AB8" s="2">
        <v>78.62533333333333</v>
      </c>
      <c r="AC8" s="2">
        <v>2.9256666666666664</v>
      </c>
      <c r="AD8" s="2">
        <v>3.6673333333333336</v>
      </c>
      <c r="AE8" s="2">
        <v>10.710333333333333</v>
      </c>
      <c r="AF8" s="2">
        <v>0.59533333333333338</v>
      </c>
      <c r="AG8" s="2">
        <v>48.041333333333334</v>
      </c>
      <c r="AH8" s="2">
        <v>1.4943333333333333</v>
      </c>
      <c r="AI8" s="2">
        <v>1.4296666666666666</v>
      </c>
      <c r="AJ8" s="2">
        <v>0.5073333333333333</v>
      </c>
      <c r="AK8" s="2">
        <v>2.9039999999999999</v>
      </c>
      <c r="AL8" s="2">
        <v>0.41399999999999998</v>
      </c>
      <c r="AM8" s="2">
        <v>1.5193333333333332</v>
      </c>
      <c r="AN8" s="2">
        <v>3.6043333333333334</v>
      </c>
      <c r="AO8" s="2">
        <v>2.4406666666666665</v>
      </c>
      <c r="AP8" s="2">
        <v>12.067333333333332</v>
      </c>
      <c r="AQ8" s="2">
        <v>0.97233333333333327</v>
      </c>
      <c r="AR8" s="2">
        <v>0.81333333333333335</v>
      </c>
      <c r="AS8" s="2">
        <v>1.6593333333333333</v>
      </c>
      <c r="AT8" s="2">
        <v>0.54599999999999993</v>
      </c>
      <c r="AU8" s="2">
        <v>0.14033333333333334</v>
      </c>
      <c r="AV8" s="2">
        <v>2.1480000000000001</v>
      </c>
      <c r="AW8" s="2">
        <v>0</v>
      </c>
      <c r="AX8" s="2">
        <v>0</v>
      </c>
      <c r="AY8" s="2">
        <v>1.3129999999999999</v>
      </c>
      <c r="AZ8" s="2">
        <v>0</v>
      </c>
      <c r="BA8" s="2">
        <v>9.0666666666666673E-2</v>
      </c>
      <c r="BB8" s="2">
        <v>17.53</v>
      </c>
      <c r="BC8" s="2">
        <v>0</v>
      </c>
      <c r="BD8" s="2">
        <v>5.5596666666666659</v>
      </c>
      <c r="BE8" s="2">
        <v>19.305666666666667</v>
      </c>
      <c r="BF8" s="2">
        <v>0.89933333333333332</v>
      </c>
      <c r="BG8" s="2">
        <v>10.341666666666667</v>
      </c>
      <c r="BH8" s="2">
        <v>3.0156666666666667</v>
      </c>
      <c r="BI8" s="2">
        <v>2.2399999999999998</v>
      </c>
      <c r="BJ8" s="2">
        <v>877.98599999999999</v>
      </c>
      <c r="BK8" s="2">
        <v>7.4653333333333336</v>
      </c>
      <c r="BL8" s="2">
        <v>1.696</v>
      </c>
      <c r="BM8" s="2">
        <v>4.0556666666666663</v>
      </c>
      <c r="BN8" s="2">
        <v>3.2613333333333334</v>
      </c>
      <c r="BO8" s="2">
        <v>0.68800000000000006</v>
      </c>
      <c r="BP8" s="2">
        <v>1.3260000000000001</v>
      </c>
      <c r="BQ8" s="2">
        <v>0.44966666666666666</v>
      </c>
      <c r="BR8" s="2">
        <v>0.47766666666666668</v>
      </c>
      <c r="BS8" s="2">
        <v>0.16233333333333333</v>
      </c>
      <c r="BT8" s="2">
        <v>3.9013333333333335</v>
      </c>
      <c r="BU8" s="29">
        <v>1.2689280000000001</v>
      </c>
      <c r="BV8" s="29">
        <v>0</v>
      </c>
      <c r="BW8" s="29">
        <v>0.29865599999999998</v>
      </c>
      <c r="BX8" s="29">
        <v>3.482784000000001</v>
      </c>
      <c r="BY8" s="30">
        <v>0.53856000000000004</v>
      </c>
    </row>
    <row r="9" spans="1:77" x14ac:dyDescent="0.35">
      <c r="A9" s="12" t="s">
        <v>7</v>
      </c>
      <c r="B9" s="3">
        <v>1.403</v>
      </c>
      <c r="C9" s="2">
        <v>1.0149999999999999</v>
      </c>
      <c r="D9" s="2">
        <v>0</v>
      </c>
      <c r="E9" s="2">
        <v>137.35</v>
      </c>
      <c r="F9" s="2">
        <v>1.4400000000000001E-3</v>
      </c>
      <c r="G9" s="2">
        <v>13.033333333333333</v>
      </c>
      <c r="H9" s="2">
        <v>6.3333333333333332E-3</v>
      </c>
      <c r="I9" s="2">
        <v>0</v>
      </c>
      <c r="J9" s="2">
        <v>0.68233333333333335</v>
      </c>
      <c r="K9" s="2">
        <v>5.7466666666666661</v>
      </c>
      <c r="L9" s="2">
        <v>6.6993333333333327</v>
      </c>
      <c r="M9" s="2">
        <v>3.3426666666666667</v>
      </c>
      <c r="N9" s="2">
        <v>0.66800000000000004</v>
      </c>
      <c r="O9" s="2">
        <v>0</v>
      </c>
      <c r="P9" s="2">
        <v>12.321333333333333</v>
      </c>
      <c r="Q9" s="2">
        <v>1.9530000000000001</v>
      </c>
      <c r="R9" s="2">
        <v>2.2386666666666666</v>
      </c>
      <c r="S9" s="2">
        <v>21.425666666666668</v>
      </c>
      <c r="T9" s="2">
        <v>1.5813333333333333</v>
      </c>
      <c r="U9" s="2">
        <v>1.8966666666666667</v>
      </c>
      <c r="V9" s="2">
        <v>7.4333333333333335E-2</v>
      </c>
      <c r="W9" s="2">
        <v>38.064999999999998</v>
      </c>
      <c r="X9" s="2">
        <v>7.8493333333333331</v>
      </c>
      <c r="Y9" s="2">
        <v>7.0133333333333328</v>
      </c>
      <c r="Z9" s="2">
        <v>6.0976666666666661</v>
      </c>
      <c r="AA9" s="2">
        <v>5.6046666666666667</v>
      </c>
      <c r="AB9" s="2">
        <v>86.356666666666669</v>
      </c>
      <c r="AC9" s="2">
        <v>1.9113333333333333</v>
      </c>
      <c r="AD9" s="2">
        <v>17.320333333333334</v>
      </c>
      <c r="AE9" s="2">
        <v>3.2213333333333334</v>
      </c>
      <c r="AF9" s="2">
        <v>51.599333333333334</v>
      </c>
      <c r="AG9" s="2">
        <v>7.9823333333333331</v>
      </c>
      <c r="AH9" s="2">
        <v>1.6693333333333333</v>
      </c>
      <c r="AI9" s="2">
        <v>4.3056666666666663</v>
      </c>
      <c r="AJ9" s="2">
        <v>0.21733333333333335</v>
      </c>
      <c r="AK9" s="2">
        <v>0</v>
      </c>
      <c r="AL9" s="2">
        <v>0</v>
      </c>
      <c r="AM9" s="2">
        <v>2.1296666666666666</v>
      </c>
      <c r="AN9" s="2">
        <v>8.4276666666666671</v>
      </c>
      <c r="AO9" s="2">
        <v>2.6123333333333334</v>
      </c>
      <c r="AP9" s="2">
        <v>3.7983333333333333</v>
      </c>
      <c r="AQ9" s="2">
        <v>8.2333333333333328E-2</v>
      </c>
      <c r="AR9" s="2">
        <v>1.2596666666666667</v>
      </c>
      <c r="AS9" s="2">
        <v>0.39066666666666666</v>
      </c>
      <c r="AT9" s="2">
        <v>0.3203333333333333</v>
      </c>
      <c r="AU9" s="2">
        <v>0.52400000000000002</v>
      </c>
      <c r="AV9" s="2">
        <v>6.4186666666666667</v>
      </c>
      <c r="AW9" s="2">
        <v>0.04</v>
      </c>
      <c r="AX9" s="2">
        <v>2.8640000000000003</v>
      </c>
      <c r="AY9" s="2">
        <v>13.354666666666667</v>
      </c>
      <c r="AZ9" s="2">
        <v>0.12566666666666668</v>
      </c>
      <c r="BA9" s="2">
        <v>1.6239999999999999</v>
      </c>
      <c r="BB9" s="2">
        <v>5.2333333333333336E-2</v>
      </c>
      <c r="BC9" s="2">
        <v>0.129</v>
      </c>
      <c r="BD9" s="2">
        <v>0.27833333333333332</v>
      </c>
      <c r="BE9" s="2">
        <v>36.81433333333333</v>
      </c>
      <c r="BF9" s="2">
        <v>0.7403333333333334</v>
      </c>
      <c r="BG9" s="2">
        <v>2.2090000000000001</v>
      </c>
      <c r="BH9" s="2">
        <v>11.235333333333335</v>
      </c>
      <c r="BI9" s="2">
        <v>1.6336666666666666</v>
      </c>
      <c r="BJ9" s="2">
        <v>214.08466666666666</v>
      </c>
      <c r="BK9" s="2">
        <v>5.3339999999999996</v>
      </c>
      <c r="BL9" s="2">
        <v>0.77266666666666672</v>
      </c>
      <c r="BM9" s="2">
        <v>0.73266666666666669</v>
      </c>
      <c r="BN9" s="2">
        <v>1.5890000000000002</v>
      </c>
      <c r="BO9" s="2">
        <v>0.22900000000000001</v>
      </c>
      <c r="BP9" s="2">
        <v>9.1449999999999996</v>
      </c>
      <c r="BQ9" s="2">
        <v>0.94300000000000006</v>
      </c>
      <c r="BR9" s="2">
        <v>0.16833333333333333</v>
      </c>
      <c r="BS9" s="2">
        <v>2.8666666666666668E-4</v>
      </c>
      <c r="BT9" s="2">
        <v>4.9921920000000002</v>
      </c>
      <c r="BU9" s="29">
        <v>0.98841599999999985</v>
      </c>
      <c r="BV9" s="29">
        <v>0.45820800000000006</v>
      </c>
      <c r="BW9" s="29">
        <v>0</v>
      </c>
      <c r="BX9" s="29">
        <v>0.59702399999999989</v>
      </c>
      <c r="BY9" s="30">
        <v>1.2384000000000001E-2</v>
      </c>
    </row>
    <row r="10" spans="1:77" x14ac:dyDescent="0.35">
      <c r="A10" s="12" t="s">
        <v>8</v>
      </c>
      <c r="B10" s="3">
        <v>4.0393333333333334</v>
      </c>
      <c r="C10" s="2">
        <v>40.073333333333338</v>
      </c>
      <c r="D10" s="2">
        <v>3.0590000000000002</v>
      </c>
      <c r="E10" s="2">
        <v>47.473999999999997</v>
      </c>
      <c r="F10" s="2">
        <v>1.1746666666666667</v>
      </c>
      <c r="G10" s="2">
        <v>59.531333333333329</v>
      </c>
      <c r="H10" s="2">
        <v>14.911999999999999</v>
      </c>
      <c r="I10" s="2">
        <v>6.5003333333333337</v>
      </c>
      <c r="J10" s="2">
        <v>147.61799999999999</v>
      </c>
      <c r="K10" s="2">
        <v>1.8760000000000001</v>
      </c>
      <c r="L10" s="2">
        <v>7.5309999999999997</v>
      </c>
      <c r="M10" s="2">
        <v>16.074000000000002</v>
      </c>
      <c r="N10" s="2">
        <v>18.089333333333332</v>
      </c>
      <c r="O10" s="2">
        <v>26.734999999999999</v>
      </c>
      <c r="P10" s="2">
        <v>14.795999999999999</v>
      </c>
      <c r="Q10" s="2">
        <v>6.905666666666666</v>
      </c>
      <c r="R10" s="2">
        <v>9.8130000000000006</v>
      </c>
      <c r="S10" s="2">
        <v>202.06666666666669</v>
      </c>
      <c r="T10" s="2">
        <v>14.511333333333333</v>
      </c>
      <c r="U10" s="2">
        <v>4.0116666666666667</v>
      </c>
      <c r="V10" s="2">
        <v>9.2126666666666672</v>
      </c>
      <c r="W10" s="2">
        <v>332.06099999999998</v>
      </c>
      <c r="X10" s="2">
        <v>11.186666666666667</v>
      </c>
      <c r="Y10" s="2">
        <v>17.579666666666665</v>
      </c>
      <c r="Z10" s="2">
        <v>12.975999999999999</v>
      </c>
      <c r="AA10" s="2">
        <v>27.746333333333336</v>
      </c>
      <c r="AB10" s="2">
        <v>51.431000000000004</v>
      </c>
      <c r="AC10" s="2">
        <v>2.6146666666666669</v>
      </c>
      <c r="AD10" s="2">
        <v>67.629333333333335</v>
      </c>
      <c r="AE10" s="2">
        <v>3.2643333333333331</v>
      </c>
      <c r="AF10" s="2">
        <v>2.9380000000000002</v>
      </c>
      <c r="AG10" s="2">
        <v>5.8776666666666664</v>
      </c>
      <c r="AH10" s="2">
        <v>1.7316666666666667</v>
      </c>
      <c r="AI10" s="2">
        <v>1.222</v>
      </c>
      <c r="AJ10" s="2">
        <v>4.8796666666666662</v>
      </c>
      <c r="AK10" s="2">
        <v>0.8836666666666666</v>
      </c>
      <c r="AL10" s="2">
        <v>33.949666666666666</v>
      </c>
      <c r="AM10" s="2">
        <v>4.5599999999999996</v>
      </c>
      <c r="AN10" s="2">
        <v>159.25633333333334</v>
      </c>
      <c r="AO10" s="2">
        <v>4.5110000000000001</v>
      </c>
      <c r="AP10" s="2">
        <v>3.1996666666666669</v>
      </c>
      <c r="AQ10" s="2">
        <v>4.7066666666666661</v>
      </c>
      <c r="AR10" s="2">
        <v>3.0373333333333332</v>
      </c>
      <c r="AS10" s="2">
        <v>1.0346666666666666</v>
      </c>
      <c r="AT10" s="2">
        <v>3.222</v>
      </c>
      <c r="AU10" s="2">
        <v>30.74</v>
      </c>
      <c r="AV10" s="2">
        <v>4.0753333333333339</v>
      </c>
      <c r="AW10" s="2">
        <v>1.0449999999999999</v>
      </c>
      <c r="AX10" s="2">
        <v>19.306999999999999</v>
      </c>
      <c r="AY10" s="2">
        <v>0.79100000000000004</v>
      </c>
      <c r="AZ10" s="2">
        <v>1.044</v>
      </c>
      <c r="BA10" s="2">
        <v>18.78</v>
      </c>
      <c r="BB10" s="2">
        <v>9.8986666666666672</v>
      </c>
      <c r="BC10" s="2">
        <v>16.063333333333333</v>
      </c>
      <c r="BD10" s="2">
        <v>8.5326666666666657</v>
      </c>
      <c r="BE10" s="2">
        <v>1.5890000000000002</v>
      </c>
      <c r="BF10" s="2">
        <v>28.879000000000001</v>
      </c>
      <c r="BG10" s="2">
        <v>22.59266666666667</v>
      </c>
      <c r="BH10" s="2">
        <v>14.752666666666668</v>
      </c>
      <c r="BI10" s="2">
        <v>2.2426666666666666</v>
      </c>
      <c r="BJ10" s="2">
        <v>153.91299999999998</v>
      </c>
      <c r="BK10" s="2">
        <v>3.8616666666666668</v>
      </c>
      <c r="BL10" s="2">
        <v>0.73966666666666658</v>
      </c>
      <c r="BM10" s="2">
        <v>39.06966666666667</v>
      </c>
      <c r="BN10" s="2">
        <v>5.7136666666666658</v>
      </c>
      <c r="BO10" s="2">
        <v>0.92066666666666663</v>
      </c>
      <c r="BP10" s="2">
        <v>3.5273333333333334</v>
      </c>
      <c r="BQ10" s="2">
        <v>34.538666666666664</v>
      </c>
      <c r="BR10" s="2">
        <v>7.1729999999999992</v>
      </c>
      <c r="BS10" s="2">
        <v>3.4103333333333334</v>
      </c>
      <c r="BT10" s="2">
        <v>2.5683839999999996</v>
      </c>
      <c r="BU10" s="29">
        <v>0</v>
      </c>
      <c r="BV10" s="29">
        <v>10.873727999999998</v>
      </c>
      <c r="BW10" s="29">
        <v>1.0336319999999999</v>
      </c>
      <c r="BX10" s="29">
        <v>8.2022400000000015</v>
      </c>
      <c r="BY10" s="30">
        <v>0.345024</v>
      </c>
    </row>
    <row r="11" spans="1:77" x14ac:dyDescent="0.35">
      <c r="A11" s="12" t="s">
        <v>9</v>
      </c>
      <c r="B11" s="3">
        <v>0.61366666666666658</v>
      </c>
      <c r="C11" s="2">
        <v>26.126333333333331</v>
      </c>
      <c r="D11" s="2">
        <v>1.1666666666666665E-2</v>
      </c>
      <c r="E11" s="2">
        <v>10.646333333333333</v>
      </c>
      <c r="F11" s="2">
        <v>2.8456666666666668</v>
      </c>
      <c r="G11" s="2">
        <v>3.919</v>
      </c>
      <c r="H11" s="2">
        <v>4.5333333333333337E-2</v>
      </c>
      <c r="I11" s="2">
        <v>0.57700000000000007</v>
      </c>
      <c r="J11" s="2">
        <v>214.95166666666668</v>
      </c>
      <c r="K11" s="2">
        <v>2.0369999999999999</v>
      </c>
      <c r="L11" s="2">
        <v>2.6139999999999999</v>
      </c>
      <c r="M11" s="2">
        <v>10.296999999999999</v>
      </c>
      <c r="N11" s="2">
        <v>1.6436666666666666</v>
      </c>
      <c r="O11" s="2">
        <v>8.1129999999999995</v>
      </c>
      <c r="P11" s="2">
        <v>19.431333333333331</v>
      </c>
      <c r="Q11" s="2">
        <v>1.8783333333333332</v>
      </c>
      <c r="R11" s="2">
        <v>1.1656666666666666</v>
      </c>
      <c r="S11" s="2">
        <v>34.384333333333338</v>
      </c>
      <c r="T11" s="2">
        <v>10.844666666666667</v>
      </c>
      <c r="U11" s="2">
        <v>5.1673333333333336</v>
      </c>
      <c r="V11" s="2">
        <v>5.1523333333333339</v>
      </c>
      <c r="W11" s="2">
        <v>226.44299999999998</v>
      </c>
      <c r="X11" s="2">
        <v>12.353333333333333</v>
      </c>
      <c r="Y11" s="2">
        <v>21.355333333333334</v>
      </c>
      <c r="Z11" s="2">
        <v>4.5356666666666667</v>
      </c>
      <c r="AA11" s="2">
        <v>10.608666666666666</v>
      </c>
      <c r="AB11" s="2">
        <v>38.462333333333333</v>
      </c>
      <c r="AC11" s="2">
        <v>9.6429999999999989</v>
      </c>
      <c r="AD11" s="2">
        <v>62.599666666666671</v>
      </c>
      <c r="AE11" s="2">
        <v>2.2650000000000001</v>
      </c>
      <c r="AF11" s="2">
        <v>2.653</v>
      </c>
      <c r="AG11" s="2">
        <v>5.8223333333333329</v>
      </c>
      <c r="AH11" s="2">
        <v>2.1973333333333334</v>
      </c>
      <c r="AI11" s="2">
        <v>3.4066666666666667</v>
      </c>
      <c r="AJ11" s="2">
        <v>4.1606666666666667</v>
      </c>
      <c r="AK11" s="2">
        <v>11.083666666666666</v>
      </c>
      <c r="AL11" s="2">
        <v>1.4589999999999999</v>
      </c>
      <c r="AM11" s="2">
        <v>1.952</v>
      </c>
      <c r="AN11" s="2">
        <v>70.346999999999994</v>
      </c>
      <c r="AO11" s="2">
        <v>2.4216666666666664</v>
      </c>
      <c r="AP11" s="2">
        <v>2.4550000000000001</v>
      </c>
      <c r="AQ11" s="2">
        <v>0.26200000000000001</v>
      </c>
      <c r="AR11" s="2">
        <v>0.40733333333333333</v>
      </c>
      <c r="AS11" s="2">
        <v>0.21466666666666667</v>
      </c>
      <c r="AT11" s="2">
        <v>0.96566666666666656</v>
      </c>
      <c r="AU11" s="2">
        <v>2.4483333333333333</v>
      </c>
      <c r="AV11" s="2">
        <v>6.1459999999999999</v>
      </c>
      <c r="AW11" s="2">
        <v>1.7063333333333333</v>
      </c>
      <c r="AX11" s="2">
        <v>2.1759999999999997</v>
      </c>
      <c r="AY11" s="2">
        <v>4.2053333333333329</v>
      </c>
      <c r="AZ11" s="2">
        <v>6.0576666666666661</v>
      </c>
      <c r="BA11" s="2">
        <v>0.223</v>
      </c>
      <c r="BB11" s="2">
        <v>1.1016666666666668</v>
      </c>
      <c r="BC11" s="2">
        <v>77.308999999999997</v>
      </c>
      <c r="BD11" s="2">
        <v>3.97</v>
      </c>
      <c r="BE11" s="2">
        <v>6.511333333333333</v>
      </c>
      <c r="BF11" s="2">
        <v>7.4676666666666662</v>
      </c>
      <c r="BG11" s="2">
        <v>1.1119999999999999</v>
      </c>
      <c r="BH11" s="2">
        <v>133.845</v>
      </c>
      <c r="BI11" s="2">
        <v>1.619</v>
      </c>
      <c r="BJ11" s="2">
        <v>117.04333333333334</v>
      </c>
      <c r="BK11" s="2">
        <v>3.6010000000000004</v>
      </c>
      <c r="BL11" s="2">
        <v>0.96833333333333327</v>
      </c>
      <c r="BM11" s="2">
        <v>31.277333333333331</v>
      </c>
      <c r="BN11" s="2">
        <v>6.5720000000000001</v>
      </c>
      <c r="BO11" s="2">
        <v>1.165</v>
      </c>
      <c r="BP11" s="2">
        <v>2.1956666666666664</v>
      </c>
      <c r="BQ11" s="2">
        <v>106.33833333333332</v>
      </c>
      <c r="BR11" s="2">
        <v>5.3493333333333331</v>
      </c>
      <c r="BS11" s="2">
        <v>0.40900000000000003</v>
      </c>
      <c r="BT11" s="2">
        <v>0.93024000000000018</v>
      </c>
      <c r="BU11" s="29">
        <v>0.47289600000000004</v>
      </c>
      <c r="BV11" s="29">
        <v>0.54057600000000006</v>
      </c>
      <c r="BW11" s="29">
        <v>1.3887360000000002</v>
      </c>
      <c r="BX11" s="29">
        <v>2.2481280000000008</v>
      </c>
      <c r="BY11" s="46">
        <v>0.120384</v>
      </c>
    </row>
    <row r="12" spans="1:77" x14ac:dyDescent="0.35">
      <c r="A12" s="12" t="s">
        <v>10</v>
      </c>
      <c r="B12" s="3">
        <v>0.18833333333333335</v>
      </c>
      <c r="C12" s="2">
        <v>1.3013333333333332</v>
      </c>
      <c r="D12" s="2">
        <v>0</v>
      </c>
      <c r="E12" s="2">
        <v>0.58266666666666667</v>
      </c>
      <c r="F12" s="2">
        <v>1.0713333333333332</v>
      </c>
      <c r="G12" s="2">
        <v>1.0156666666666667</v>
      </c>
      <c r="H12" s="2">
        <v>0</v>
      </c>
      <c r="I12" s="2">
        <v>1.47E-2</v>
      </c>
      <c r="J12" s="2">
        <v>138.95433333333332</v>
      </c>
      <c r="K12" s="2">
        <v>1.7366666666666666</v>
      </c>
      <c r="L12" s="2">
        <v>1.5330000000000001</v>
      </c>
      <c r="M12" s="2">
        <v>1.7846666666666666</v>
      </c>
      <c r="N12" s="2">
        <v>0.58933333333333338</v>
      </c>
      <c r="O12" s="2">
        <v>0.90800000000000003</v>
      </c>
      <c r="P12" s="2">
        <v>0.25633333333333336</v>
      </c>
      <c r="Q12" s="2">
        <v>2.8316666666666666</v>
      </c>
      <c r="R12" s="2">
        <v>0.154</v>
      </c>
      <c r="S12" s="2">
        <v>11.943333333333333</v>
      </c>
      <c r="T12" s="2">
        <v>2.7433333333333336</v>
      </c>
      <c r="U12" s="2">
        <v>0.87</v>
      </c>
      <c r="V12" s="2">
        <v>0.14933333333333335</v>
      </c>
      <c r="W12" s="2">
        <v>92.759</v>
      </c>
      <c r="X12" s="2">
        <v>5.1506666666666669</v>
      </c>
      <c r="Y12" s="2">
        <v>10.644333333333334</v>
      </c>
      <c r="Z12" s="2">
        <v>2.8049999999999997</v>
      </c>
      <c r="AA12" s="2">
        <v>7.0786666666666669</v>
      </c>
      <c r="AB12" s="2">
        <v>49.570666666666661</v>
      </c>
      <c r="AC12" s="2">
        <v>2.0256666666666665</v>
      </c>
      <c r="AD12" s="2">
        <v>30.40133333333333</v>
      </c>
      <c r="AE12" s="2">
        <v>1.5813333333333333</v>
      </c>
      <c r="AF12" s="2">
        <v>3.0559999999999996</v>
      </c>
      <c r="AG12" s="2">
        <v>3.3859999999999997</v>
      </c>
      <c r="AH12" s="2">
        <v>2.8556666666666666</v>
      </c>
      <c r="AI12" s="2">
        <v>1.6403333333333334</v>
      </c>
      <c r="AJ12" s="2">
        <v>0.69066666666666665</v>
      </c>
      <c r="AK12" s="2">
        <v>2.1073333333333335</v>
      </c>
      <c r="AL12" s="2">
        <v>0.87766666666666671</v>
      </c>
      <c r="AM12" s="2">
        <v>1.1213333333333333</v>
      </c>
      <c r="AN12" s="2">
        <v>32.582999999999998</v>
      </c>
      <c r="AO12" s="2">
        <v>1.276</v>
      </c>
      <c r="AP12" s="2">
        <v>0.68233333333333335</v>
      </c>
      <c r="AQ12" s="2">
        <v>0.18799999999999997</v>
      </c>
      <c r="AR12" s="2">
        <v>0.23899999999999999</v>
      </c>
      <c r="AS12" s="2">
        <v>0.37033333333333335</v>
      </c>
      <c r="AT12" s="2">
        <v>0.51400000000000001</v>
      </c>
      <c r="AU12" s="2">
        <v>2.3356666666666666</v>
      </c>
      <c r="AV12" s="2">
        <v>0.113</v>
      </c>
      <c r="AW12" s="2">
        <v>0.56166666666666665</v>
      </c>
      <c r="AX12" s="2">
        <v>0.11266666666666668</v>
      </c>
      <c r="AY12" s="2">
        <v>0.126</v>
      </c>
      <c r="AZ12" s="2">
        <v>1.2949999999999999</v>
      </c>
      <c r="BA12" s="2">
        <v>1.3333333333333333E-3</v>
      </c>
      <c r="BB12" s="2">
        <v>1.4593333333333334</v>
      </c>
      <c r="BC12" s="2">
        <v>8.6549999999999994</v>
      </c>
      <c r="BD12" s="2">
        <v>1.5456666666666665</v>
      </c>
      <c r="BE12" s="2">
        <v>2.529666666666667</v>
      </c>
      <c r="BF12" s="2">
        <v>1.1943333333333335</v>
      </c>
      <c r="BG12" s="2">
        <v>0.6293333333333333</v>
      </c>
      <c r="BH12" s="2">
        <v>79.660666666666671</v>
      </c>
      <c r="BI12" s="2">
        <v>1.4630000000000001</v>
      </c>
      <c r="BJ12" s="2">
        <v>21.830333333333332</v>
      </c>
      <c r="BK12" s="2">
        <v>2.1750000000000003</v>
      </c>
      <c r="BL12" s="2">
        <v>0.59566666666666668</v>
      </c>
      <c r="BM12" s="2">
        <v>6.1539999999999999</v>
      </c>
      <c r="BN12" s="2">
        <v>5.9093333333333335</v>
      </c>
      <c r="BO12" s="2">
        <v>1.1813333333333333</v>
      </c>
      <c r="BP12" s="2">
        <v>6.6106666666666669</v>
      </c>
      <c r="BQ12" s="2">
        <v>5.8570000000000002</v>
      </c>
      <c r="BR12" s="2">
        <v>2.6833333333333336</v>
      </c>
      <c r="BS12" s="2">
        <v>0.17400000000000002</v>
      </c>
      <c r="BT12" s="2">
        <v>0.499392</v>
      </c>
      <c r="BU12" s="29">
        <v>8.179199999999999E-2</v>
      </c>
      <c r="BV12" s="29">
        <v>4.9535999999999997E-2</v>
      </c>
      <c r="BW12" s="29">
        <v>7.5455999999999995E-2</v>
      </c>
      <c r="BX12" s="29">
        <v>1.3233600000000001</v>
      </c>
      <c r="BY12" s="30"/>
    </row>
    <row r="13" spans="1:77" ht="15" thickBot="1" x14ac:dyDescent="0.4">
      <c r="A13" s="13" t="s">
        <v>11</v>
      </c>
      <c r="B13" s="5">
        <v>0.185</v>
      </c>
      <c r="C13" s="4">
        <v>0.41099999999999998</v>
      </c>
      <c r="D13" s="4">
        <v>0</v>
      </c>
      <c r="E13" s="4">
        <v>6.9666666666666668E-2</v>
      </c>
      <c r="F13" s="4">
        <v>0</v>
      </c>
      <c r="G13" s="4">
        <v>6.6666666666666666E-2</v>
      </c>
      <c r="H13" s="4">
        <v>0</v>
      </c>
      <c r="I13" s="4">
        <v>0</v>
      </c>
      <c r="J13" s="4">
        <v>72.414666666666662</v>
      </c>
      <c r="K13" s="4">
        <v>0.96533333333333327</v>
      </c>
      <c r="L13" s="4">
        <v>1.6946666666666665</v>
      </c>
      <c r="M13" s="4">
        <v>0.72533333333333339</v>
      </c>
      <c r="N13" s="4">
        <v>3.2833333333333332E-2</v>
      </c>
      <c r="O13" s="4">
        <v>3.3133333333333334E-2</v>
      </c>
      <c r="P13" s="4">
        <v>0</v>
      </c>
      <c r="Q13" s="4">
        <v>1.4390000000000001</v>
      </c>
      <c r="R13" s="4">
        <v>0</v>
      </c>
      <c r="S13" s="4">
        <v>7.1040000000000001</v>
      </c>
      <c r="T13" s="4">
        <v>2.0169999999999999</v>
      </c>
      <c r="U13" s="4">
        <v>2.2846666666666668</v>
      </c>
      <c r="V13" s="4">
        <v>3.5666666666666666E-2</v>
      </c>
      <c r="W13" s="4">
        <v>44.755333333333333</v>
      </c>
      <c r="X13" s="4">
        <v>3.8763333333333332</v>
      </c>
      <c r="Y13" s="4">
        <v>7.5783333333333331</v>
      </c>
      <c r="Z13" s="4">
        <v>2.1173333333333333</v>
      </c>
      <c r="AA13" s="4">
        <v>4.8496666666666668</v>
      </c>
      <c r="AB13" s="4">
        <v>53.095666666666666</v>
      </c>
      <c r="AC13" s="4">
        <v>1.9636666666666667</v>
      </c>
      <c r="AD13" s="4">
        <v>29.419333333333331</v>
      </c>
      <c r="AE13" s="4">
        <v>1.3833333333333335</v>
      </c>
      <c r="AF13" s="4">
        <v>2.2850000000000001</v>
      </c>
      <c r="AG13" s="4">
        <v>2.8219999999999996</v>
      </c>
      <c r="AH13" s="4">
        <v>2.9369999999999998</v>
      </c>
      <c r="AI13" s="4">
        <v>0.64633333333333332</v>
      </c>
      <c r="AJ13" s="4">
        <v>9.5333333333333325E-2</v>
      </c>
      <c r="AK13" s="4">
        <v>7.6999999999999999E-2</v>
      </c>
      <c r="AL13" s="4">
        <v>0.22766666666666668</v>
      </c>
      <c r="AM13" s="4">
        <v>0.6193333333333334</v>
      </c>
      <c r="AN13" s="4">
        <v>5.4613333333333332</v>
      </c>
      <c r="AO13" s="4">
        <v>2.02</v>
      </c>
      <c r="AP13" s="4">
        <v>0.49100000000000005</v>
      </c>
      <c r="AQ13" s="4">
        <v>0.60666666666666669</v>
      </c>
      <c r="AR13" s="4">
        <v>0.33899999999999997</v>
      </c>
      <c r="AS13" s="4">
        <v>0.19433333333333333</v>
      </c>
      <c r="AT13" s="4">
        <v>0.44266666666666671</v>
      </c>
      <c r="AU13" s="4">
        <v>0.16</v>
      </c>
      <c r="AV13" s="4">
        <v>0.10266666666666667</v>
      </c>
      <c r="AW13" s="4">
        <v>0</v>
      </c>
      <c r="AX13" s="4">
        <v>0</v>
      </c>
      <c r="AY13" s="4">
        <v>0</v>
      </c>
      <c r="AZ13" s="4">
        <v>0.4463333333333333</v>
      </c>
      <c r="BA13" s="4">
        <v>0</v>
      </c>
      <c r="BB13" s="4">
        <v>1.2123333333333333</v>
      </c>
      <c r="BC13" s="4">
        <v>2.3753333333333333</v>
      </c>
      <c r="BD13" s="4">
        <v>1.5999999999999999</v>
      </c>
      <c r="BE13" s="4">
        <v>1.7986666666666666</v>
      </c>
      <c r="BF13" s="4">
        <v>1.3366666666666667</v>
      </c>
      <c r="BG13" s="4">
        <v>0.97000000000000008</v>
      </c>
      <c r="BH13" s="4">
        <v>14.321333333333333</v>
      </c>
      <c r="BI13" s="4">
        <v>1.9669999999999999</v>
      </c>
      <c r="BJ13" s="4">
        <v>16.952666666666666</v>
      </c>
      <c r="BK13" s="4">
        <v>2.4873333333333334</v>
      </c>
      <c r="BL13" s="4">
        <v>0.65766666666666673</v>
      </c>
      <c r="BM13" s="4">
        <v>5.0426666666666664</v>
      </c>
      <c r="BN13" s="4">
        <v>3.6359999999999997</v>
      </c>
      <c r="BO13" s="4">
        <v>32.999666666666663</v>
      </c>
      <c r="BP13" s="4">
        <v>3.7136666666666667</v>
      </c>
      <c r="BQ13" s="4">
        <v>4.4173333333333336</v>
      </c>
      <c r="BR13" s="4">
        <v>1.8169999999999999</v>
      </c>
      <c r="BS13" s="4">
        <v>9.3333333333333338E-2</v>
      </c>
      <c r="BT13" s="4">
        <v>0.627552</v>
      </c>
      <c r="BU13" s="35">
        <v>0</v>
      </c>
      <c r="BV13" s="35">
        <v>0</v>
      </c>
      <c r="BW13" s="35">
        <v>3.4560000000000003E-3</v>
      </c>
      <c r="BX13" s="35">
        <v>1.3383360000000004</v>
      </c>
      <c r="BY13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3"/>
  <sheetViews>
    <sheetView workbookViewId="0">
      <selection activeCell="K10" sqref="K10"/>
    </sheetView>
  </sheetViews>
  <sheetFormatPr baseColWidth="10" defaultRowHeight="14.5" x14ac:dyDescent="0.35"/>
  <sheetData>
    <row r="1" spans="1:7" ht="15" thickBot="1" x14ac:dyDescent="0.4">
      <c r="B1" s="48" t="s">
        <v>26</v>
      </c>
      <c r="C1" s="49"/>
      <c r="D1" s="49"/>
      <c r="E1" s="49"/>
      <c r="F1" s="49"/>
      <c r="G1" s="50"/>
    </row>
    <row r="2" spans="1:7" ht="15" thickBot="1" x14ac:dyDescent="0.4">
      <c r="A2" s="25" t="s">
        <v>21</v>
      </c>
      <c r="B2" s="20" t="s">
        <v>22</v>
      </c>
      <c r="C2" s="20" t="s">
        <v>23</v>
      </c>
      <c r="D2" s="20" t="s">
        <v>24</v>
      </c>
      <c r="E2" s="20" t="s">
        <v>15</v>
      </c>
      <c r="F2" s="20" t="s">
        <v>16</v>
      </c>
      <c r="G2" s="21" t="s">
        <v>25</v>
      </c>
    </row>
    <row r="3" spans="1:7" x14ac:dyDescent="0.35">
      <c r="A3" s="23">
        <v>18295</v>
      </c>
      <c r="B3" s="18">
        <v>19.941666666666666</v>
      </c>
      <c r="C3" s="18">
        <v>0.16233333333333333</v>
      </c>
      <c r="D3" s="18">
        <v>2.4553333333333334</v>
      </c>
      <c r="E3" s="18">
        <v>0.91700000000000004</v>
      </c>
      <c r="F3" s="18">
        <v>0.77566666666666662</v>
      </c>
      <c r="G3" s="19">
        <v>0.153</v>
      </c>
    </row>
    <row r="4" spans="1:7" x14ac:dyDescent="0.35">
      <c r="A4" s="22">
        <v>18323</v>
      </c>
      <c r="B4" s="1">
        <v>20.106000000000002</v>
      </c>
      <c r="C4" s="1">
        <v>0.15333333333333335</v>
      </c>
      <c r="D4" s="1">
        <v>1.6596666666666668</v>
      </c>
      <c r="E4" s="1">
        <v>0.68366666666666664</v>
      </c>
      <c r="F4" s="1">
        <v>0.83733333333333337</v>
      </c>
      <c r="G4" s="15">
        <v>0.39966666666666667</v>
      </c>
    </row>
    <row r="5" spans="1:7" x14ac:dyDescent="0.35">
      <c r="A5" s="22">
        <v>18354</v>
      </c>
      <c r="B5" s="1">
        <v>7.4009999999999998</v>
      </c>
      <c r="C5" s="1">
        <v>0.10666666666666667</v>
      </c>
      <c r="D5" s="1">
        <v>1.5226666666666668</v>
      </c>
      <c r="E5" s="1">
        <v>0.41366666666666668</v>
      </c>
      <c r="F5" s="1">
        <v>0.27300000000000002</v>
      </c>
      <c r="G5" s="15">
        <v>1.0436666666666667</v>
      </c>
    </row>
    <row r="6" spans="1:7" x14ac:dyDescent="0.35">
      <c r="A6" s="22">
        <v>18384</v>
      </c>
      <c r="B6" s="1">
        <v>8.0176666666666669</v>
      </c>
      <c r="C6" s="1">
        <v>0.09</v>
      </c>
      <c r="D6" s="1">
        <v>2.2626666666666666</v>
      </c>
      <c r="E6" s="1">
        <v>0.53933333333333333</v>
      </c>
      <c r="F6" s="1">
        <v>1.0846666666666667</v>
      </c>
      <c r="G6" s="15">
        <v>16.100999999999999</v>
      </c>
    </row>
    <row r="7" spans="1:7" x14ac:dyDescent="0.35">
      <c r="A7" s="22">
        <v>18415</v>
      </c>
      <c r="B7" s="1">
        <v>16.981333333333332</v>
      </c>
      <c r="C7" s="1">
        <v>0.17399999999999999</v>
      </c>
      <c r="D7" s="1">
        <v>1.4826666666666668</v>
      </c>
      <c r="E7" s="1">
        <v>0.70499999999999996</v>
      </c>
      <c r="F7" s="1">
        <v>0.98099999999999998</v>
      </c>
      <c r="G7" s="15">
        <v>14.356999999999999</v>
      </c>
    </row>
    <row r="8" spans="1:7" x14ac:dyDescent="0.35">
      <c r="A8" s="22">
        <v>18445</v>
      </c>
      <c r="B8" s="1">
        <v>41.527999999999999</v>
      </c>
      <c r="C8" s="1">
        <v>0.498</v>
      </c>
      <c r="D8" s="1">
        <v>1.1603333333333332</v>
      </c>
      <c r="E8" s="1">
        <v>0.48966666666666669</v>
      </c>
      <c r="F8" s="1">
        <v>0.25700000000000001</v>
      </c>
      <c r="G8" s="15">
        <v>2.0179999999999998</v>
      </c>
    </row>
    <row r="9" spans="1:7" x14ac:dyDescent="0.35">
      <c r="A9" s="22">
        <v>18476</v>
      </c>
      <c r="B9" s="1">
        <v>27.630333333333333</v>
      </c>
      <c r="C9" s="1">
        <v>6.0333333333333336E-2</v>
      </c>
      <c r="D9" s="1">
        <v>1.1656666666666669</v>
      </c>
      <c r="E9" s="1">
        <v>0.51900000000000002</v>
      </c>
      <c r="F9" s="1">
        <v>0.60333333333333339</v>
      </c>
      <c r="G9" s="15">
        <v>1.403</v>
      </c>
    </row>
    <row r="10" spans="1:7" x14ac:dyDescent="0.35">
      <c r="A10" s="22">
        <v>18507</v>
      </c>
      <c r="B10" s="1">
        <v>40.623333333333335</v>
      </c>
      <c r="C10" s="1">
        <v>7.6333333333333322E-2</v>
      </c>
      <c r="D10" s="1">
        <v>1.0880000000000001</v>
      </c>
      <c r="E10" s="1">
        <v>0.43533333333333329</v>
      </c>
      <c r="F10" s="1">
        <v>1.3416666666666668</v>
      </c>
      <c r="G10" s="15">
        <v>4.0393333333333334</v>
      </c>
    </row>
    <row r="11" spans="1:7" x14ac:dyDescent="0.35">
      <c r="A11" s="22">
        <v>18537</v>
      </c>
      <c r="B11" s="1">
        <v>30.303000000000001</v>
      </c>
      <c r="C11" s="1">
        <v>4.8000000000000001E-2</v>
      </c>
      <c r="D11" s="1">
        <v>1.5626666666666666</v>
      </c>
      <c r="E11" s="1">
        <v>0.57599999999999996</v>
      </c>
      <c r="F11" s="1">
        <v>0.63633333333333342</v>
      </c>
      <c r="G11" s="15">
        <v>0.61366666666666658</v>
      </c>
    </row>
    <row r="12" spans="1:7" x14ac:dyDescent="0.35">
      <c r="A12" s="22">
        <v>18568</v>
      </c>
      <c r="B12" s="1">
        <v>17.186666666666667</v>
      </c>
      <c r="C12" s="1">
        <v>4.7333333333333338E-2</v>
      </c>
      <c r="D12" s="1">
        <v>1.2673333333333332</v>
      </c>
      <c r="E12" s="1">
        <v>0.60766666666666658</v>
      </c>
      <c r="F12" s="1">
        <v>0.44733333333333331</v>
      </c>
      <c r="G12" s="15">
        <v>0.18833333333333335</v>
      </c>
    </row>
    <row r="13" spans="1:7" x14ac:dyDescent="0.35">
      <c r="A13" s="22">
        <v>18598</v>
      </c>
      <c r="B13" s="1">
        <v>15.624333333333334</v>
      </c>
      <c r="C13" s="1">
        <v>4.9666666666666665E-2</v>
      </c>
      <c r="D13" s="1">
        <v>1.357</v>
      </c>
      <c r="E13" s="1">
        <v>0.48733333333333334</v>
      </c>
      <c r="F13" s="1">
        <v>0.25433333333333336</v>
      </c>
      <c r="G13" s="15">
        <v>0.185</v>
      </c>
    </row>
    <row r="14" spans="1:7" x14ac:dyDescent="0.35">
      <c r="A14" s="22">
        <v>18629</v>
      </c>
      <c r="B14" s="1">
        <v>12.869666666666665</v>
      </c>
      <c r="C14" s="1">
        <v>3.7333333333333336E-2</v>
      </c>
      <c r="D14" s="1">
        <v>1.4496666666666667</v>
      </c>
      <c r="E14" s="1">
        <v>0.38600000000000001</v>
      </c>
      <c r="F14" s="1">
        <v>1.1220000000000001</v>
      </c>
      <c r="G14" s="15">
        <v>0.25133333333333335</v>
      </c>
    </row>
    <row r="15" spans="1:7" x14ac:dyDescent="0.35">
      <c r="A15" s="22">
        <v>18660</v>
      </c>
      <c r="B15" s="1">
        <v>21.750666666666667</v>
      </c>
      <c r="C15" s="1">
        <v>4.2999999999999997E-2</v>
      </c>
      <c r="D15" s="1">
        <v>1.0933333333333333</v>
      </c>
      <c r="E15" s="1">
        <v>0.27433333333333332</v>
      </c>
      <c r="F15" s="1">
        <v>0.24966666666666665</v>
      </c>
      <c r="G15" s="15">
        <v>0.152</v>
      </c>
    </row>
    <row r="16" spans="1:7" x14ac:dyDescent="0.35">
      <c r="A16" s="22">
        <v>18688</v>
      </c>
      <c r="B16" s="1">
        <v>16.117666666666665</v>
      </c>
      <c r="C16" s="1">
        <v>4.5666666666666661E-2</v>
      </c>
      <c r="D16" s="1">
        <v>1.35</v>
      </c>
      <c r="E16" s="1">
        <v>0.27633333333333332</v>
      </c>
      <c r="F16" s="1">
        <v>0.30033333333333334</v>
      </c>
      <c r="G16" s="15">
        <v>2.2563333333333335</v>
      </c>
    </row>
    <row r="17" spans="1:7" x14ac:dyDescent="0.35">
      <c r="A17" s="22">
        <v>18719</v>
      </c>
      <c r="B17" s="1">
        <v>6.825333333333333</v>
      </c>
      <c r="C17" s="1">
        <v>0.05</v>
      </c>
      <c r="D17" s="1">
        <v>1.0096666666666667</v>
      </c>
      <c r="E17" s="1">
        <v>0.23200000000000001</v>
      </c>
      <c r="F17" s="1">
        <v>0.34899999999999998</v>
      </c>
      <c r="G17" s="15">
        <v>1.3076666666666668</v>
      </c>
    </row>
    <row r="18" spans="1:7" x14ac:dyDescent="0.35">
      <c r="A18" s="22">
        <v>18749</v>
      </c>
      <c r="B18" s="1">
        <v>12.993</v>
      </c>
      <c r="C18" s="1">
        <v>2.093</v>
      </c>
      <c r="D18" s="1">
        <v>6.242</v>
      </c>
      <c r="E18" s="1">
        <v>5.9093333333333327</v>
      </c>
      <c r="F18" s="1">
        <v>3.3553333333333333</v>
      </c>
      <c r="G18" s="15">
        <v>11.54</v>
      </c>
    </row>
    <row r="19" spans="1:7" x14ac:dyDescent="0.35">
      <c r="A19" s="22">
        <v>18780</v>
      </c>
      <c r="B19" s="1">
        <v>15.377666666666666</v>
      </c>
      <c r="C19" s="1">
        <v>5.8333333333333334E-2</v>
      </c>
      <c r="D19" s="1">
        <v>4.024</v>
      </c>
      <c r="E19" s="1">
        <v>2.3570000000000002</v>
      </c>
      <c r="F19" s="1">
        <v>0.72466666666666668</v>
      </c>
      <c r="G19" s="15">
        <v>21.068666666666669</v>
      </c>
    </row>
    <row r="20" spans="1:7" x14ac:dyDescent="0.35">
      <c r="A20" s="22">
        <v>18810</v>
      </c>
      <c r="B20" s="1">
        <v>20.023666666666667</v>
      </c>
      <c r="C20" s="1">
        <v>3.8666666666666662E-2</v>
      </c>
      <c r="D20" s="1">
        <v>1.6383333333333332</v>
      </c>
      <c r="E20" s="1">
        <v>2.5896666666666666</v>
      </c>
      <c r="F20" s="1">
        <v>0.23866666666666667</v>
      </c>
      <c r="G20" s="15">
        <v>0.18733333333333335</v>
      </c>
    </row>
    <row r="21" spans="1:7" x14ac:dyDescent="0.35">
      <c r="A21" s="22">
        <v>18841</v>
      </c>
      <c r="B21" s="1">
        <v>10.196999999999999</v>
      </c>
      <c r="C21" s="1">
        <v>2.9366666666666631E-2</v>
      </c>
      <c r="D21" s="1">
        <v>1.0533333333333332</v>
      </c>
      <c r="E21" s="1">
        <v>1.607</v>
      </c>
      <c r="F21" s="1">
        <v>9.5333333333333325E-2</v>
      </c>
      <c r="G21" s="15">
        <v>1.0149999999999999</v>
      </c>
    </row>
    <row r="22" spans="1:7" x14ac:dyDescent="0.35">
      <c r="A22" s="22">
        <v>18872</v>
      </c>
      <c r="B22" s="1">
        <v>8.4700000000000006</v>
      </c>
      <c r="C22" s="1">
        <v>0.26366666666666666</v>
      </c>
      <c r="D22" s="1">
        <v>1.3283333333333334</v>
      </c>
      <c r="E22" s="1">
        <v>1.0556666666666668</v>
      </c>
      <c r="F22" s="1">
        <v>0.19500000000000001</v>
      </c>
      <c r="G22" s="15">
        <v>40.073333333333338</v>
      </c>
    </row>
    <row r="23" spans="1:7" x14ac:dyDescent="0.35">
      <c r="A23" s="22">
        <v>18902</v>
      </c>
      <c r="B23" s="1">
        <v>8.2643333333333331</v>
      </c>
      <c r="C23" s="1">
        <v>2.3599999999999965E-2</v>
      </c>
      <c r="D23" s="1">
        <v>1.6236666666666668</v>
      </c>
      <c r="E23" s="1">
        <v>0.94266666666666665</v>
      </c>
      <c r="F23" s="1">
        <v>0.16366666666666665</v>
      </c>
      <c r="G23" s="15">
        <v>26.126333333333331</v>
      </c>
    </row>
    <row r="24" spans="1:7" x14ac:dyDescent="0.35">
      <c r="A24" s="22">
        <v>18933</v>
      </c>
      <c r="B24" s="1">
        <v>8.5109999999999992</v>
      </c>
      <c r="C24" s="1">
        <v>1.8433333333333298E-2</v>
      </c>
      <c r="D24" s="1">
        <v>1.4856666666666667</v>
      </c>
      <c r="E24" s="1">
        <v>0.98366666666666658</v>
      </c>
      <c r="F24" s="1">
        <v>0.23499999999999999</v>
      </c>
      <c r="G24" s="15">
        <v>1.3013333333333332</v>
      </c>
    </row>
    <row r="25" spans="1:7" x14ac:dyDescent="0.35">
      <c r="A25" s="22">
        <v>18963</v>
      </c>
      <c r="B25" s="1">
        <v>8.0176666666666669</v>
      </c>
      <c r="C25" s="1">
        <v>1.7866666666666666E-2</v>
      </c>
      <c r="D25" s="1">
        <v>1.171</v>
      </c>
      <c r="E25" s="1">
        <v>0.75633333333333341</v>
      </c>
      <c r="F25" s="1">
        <v>0.22533333333333333</v>
      </c>
      <c r="G25" s="15">
        <v>0.41099999999999998</v>
      </c>
    </row>
    <row r="26" spans="1:7" x14ac:dyDescent="0.35">
      <c r="A26" s="22">
        <v>18994</v>
      </c>
      <c r="B26" s="1">
        <v>7.2776666666666667</v>
      </c>
      <c r="C26" s="1">
        <v>1.7866666666666666E-2</v>
      </c>
      <c r="D26" s="1">
        <v>1.554</v>
      </c>
      <c r="E26" s="1">
        <v>0.56033333333333335</v>
      </c>
      <c r="F26" s="1">
        <v>0.30266666666666669</v>
      </c>
      <c r="G26" s="15">
        <v>0.27300000000000002</v>
      </c>
    </row>
    <row r="27" spans="1:7" x14ac:dyDescent="0.35">
      <c r="A27" s="22">
        <v>19025</v>
      </c>
      <c r="B27" s="1">
        <v>5.5919999999999996</v>
      </c>
      <c r="C27" s="1">
        <v>2.0733333333333333E-2</v>
      </c>
      <c r="D27" s="1">
        <v>1.4610000000000001</v>
      </c>
      <c r="E27" s="1">
        <v>0.41466666666666668</v>
      </c>
      <c r="F27" s="1">
        <v>0.317</v>
      </c>
      <c r="G27" s="15">
        <v>3.1666666666666669E-2</v>
      </c>
    </row>
    <row r="28" spans="1:7" x14ac:dyDescent="0.35">
      <c r="A28" s="22">
        <v>19054</v>
      </c>
      <c r="B28" s="1">
        <v>4.0993333333333331</v>
      </c>
      <c r="C28" s="1">
        <v>2.4466666666666668E-2</v>
      </c>
      <c r="D28" s="1">
        <v>0.98099999999999998</v>
      </c>
      <c r="E28" s="1">
        <v>0.27733333333333332</v>
      </c>
      <c r="F28" s="1">
        <v>0.33566666666666667</v>
      </c>
      <c r="G28" s="15">
        <v>0</v>
      </c>
    </row>
    <row r="29" spans="1:7" x14ac:dyDescent="0.35">
      <c r="A29" s="22">
        <v>19085</v>
      </c>
      <c r="B29" s="1">
        <v>1.3240000000000001</v>
      </c>
      <c r="C29" s="1">
        <v>6.3666666666666663E-2</v>
      </c>
      <c r="D29" s="1">
        <v>1.4823333333333333</v>
      </c>
      <c r="E29" s="1">
        <v>0.29466666666666669</v>
      </c>
      <c r="F29" s="1">
        <v>0.36433333333333329</v>
      </c>
      <c r="G29" s="15">
        <v>0</v>
      </c>
    </row>
    <row r="30" spans="1:7" x14ac:dyDescent="0.35">
      <c r="A30" s="22">
        <v>19115</v>
      </c>
      <c r="B30" s="1">
        <v>2.0763333333333334</v>
      </c>
      <c r="C30" s="1">
        <v>0.60233333333333339</v>
      </c>
      <c r="D30" s="1">
        <v>1.702</v>
      </c>
      <c r="E30" s="1">
        <v>0.51566666666666661</v>
      </c>
      <c r="F30" s="1">
        <v>0.83599999999999997</v>
      </c>
      <c r="G30" s="15">
        <v>5.9856666666666669</v>
      </c>
    </row>
    <row r="31" spans="1:7" x14ac:dyDescent="0.35">
      <c r="A31" s="22">
        <v>19146</v>
      </c>
      <c r="B31" s="1">
        <v>19.571666666666669</v>
      </c>
      <c r="C31" s="1">
        <v>4.0333333333333339E-2</v>
      </c>
      <c r="D31" s="1">
        <v>0.65333333333333332</v>
      </c>
      <c r="E31" s="1">
        <v>7.0000000000000007E-2</v>
      </c>
      <c r="F31" s="1">
        <v>0.14233333333333334</v>
      </c>
      <c r="G31" s="15">
        <v>0.83599999999999997</v>
      </c>
    </row>
    <row r="32" spans="1:7" x14ac:dyDescent="0.35">
      <c r="A32" s="22">
        <v>19176</v>
      </c>
      <c r="B32" s="1">
        <v>82.644666666666666</v>
      </c>
      <c r="C32" s="1">
        <v>2.2766666666666633E-2</v>
      </c>
      <c r="D32" s="1">
        <v>0.34366666666666668</v>
      </c>
      <c r="E32" s="1">
        <v>0</v>
      </c>
      <c r="F32" s="1">
        <v>0.69633333333333336</v>
      </c>
      <c r="G32" s="15">
        <v>0.13700000000000001</v>
      </c>
    </row>
    <row r="33" spans="1:7" x14ac:dyDescent="0.35">
      <c r="A33" s="22">
        <v>19207</v>
      </c>
      <c r="B33" s="1">
        <v>7.8120000000000003</v>
      </c>
      <c r="C33" s="1">
        <v>1.7266666666666635E-2</v>
      </c>
      <c r="D33" s="1">
        <v>0.51333333333333342</v>
      </c>
      <c r="E33" s="1">
        <v>0</v>
      </c>
      <c r="F33" s="1">
        <v>4.4333333333333336E-2</v>
      </c>
      <c r="G33" s="15">
        <v>0</v>
      </c>
    </row>
    <row r="34" spans="1:7" x14ac:dyDescent="0.35">
      <c r="A34" s="22">
        <v>19238</v>
      </c>
      <c r="B34" s="1">
        <v>5.0983333333333327</v>
      </c>
      <c r="C34" s="1">
        <v>1.5266666666666632E-2</v>
      </c>
      <c r="D34" s="1">
        <v>0.61</v>
      </c>
      <c r="E34" s="1">
        <v>0</v>
      </c>
      <c r="F34" s="1">
        <v>4.3666666666666666E-2</v>
      </c>
      <c r="G34" s="15">
        <v>3.0590000000000002</v>
      </c>
    </row>
    <row r="35" spans="1:7" x14ac:dyDescent="0.35">
      <c r="A35" s="22">
        <v>19268</v>
      </c>
      <c r="B35" s="1">
        <v>5.0163333333333329</v>
      </c>
      <c r="C35" s="1">
        <v>9.2000000000000016E-3</v>
      </c>
      <c r="D35" s="1">
        <v>0.70666666666666667</v>
      </c>
      <c r="E35" s="1">
        <v>0</v>
      </c>
      <c r="F35" s="1">
        <v>4.4999999999999998E-2</v>
      </c>
      <c r="G35" s="15">
        <v>1.1666666666666665E-2</v>
      </c>
    </row>
    <row r="36" spans="1:7" x14ac:dyDescent="0.35">
      <c r="A36" s="22">
        <v>19299</v>
      </c>
      <c r="B36" s="1">
        <v>4.3583333333333334</v>
      </c>
      <c r="C36" s="1">
        <v>8.6333333333332984E-3</v>
      </c>
      <c r="D36" s="1">
        <v>0.58766666666666667</v>
      </c>
      <c r="E36" s="1">
        <v>0</v>
      </c>
      <c r="F36" s="1">
        <v>8.8999999999999996E-2</v>
      </c>
      <c r="G36" s="15">
        <v>0</v>
      </c>
    </row>
    <row r="37" spans="1:7" x14ac:dyDescent="0.35">
      <c r="A37" s="22">
        <v>19329</v>
      </c>
      <c r="B37" s="1">
        <v>4.7696666666666667</v>
      </c>
      <c r="C37" s="1">
        <v>8.9333333333333331E-3</v>
      </c>
      <c r="D37" s="1">
        <v>0.84166666666666667</v>
      </c>
      <c r="E37" s="1">
        <v>7.0333333333333331E-2</v>
      </c>
      <c r="F37" s="1">
        <v>0.12033333333333333</v>
      </c>
      <c r="G37" s="15">
        <v>0</v>
      </c>
    </row>
    <row r="38" spans="1:7" x14ac:dyDescent="0.35">
      <c r="A38" s="22">
        <v>19360</v>
      </c>
      <c r="B38" s="1">
        <v>5.8796666666666662</v>
      </c>
      <c r="C38" s="1">
        <v>0.152</v>
      </c>
      <c r="D38" s="1">
        <v>1.0713333333333332</v>
      </c>
      <c r="E38" s="1">
        <v>0.20066666666666666</v>
      </c>
      <c r="F38" s="1">
        <v>0.10933333333333334</v>
      </c>
      <c r="G38" s="15">
        <v>0</v>
      </c>
    </row>
    <row r="39" spans="1:7" x14ac:dyDescent="0.35">
      <c r="A39" s="22">
        <v>19391</v>
      </c>
      <c r="B39" s="1">
        <v>4.6463333333333336</v>
      </c>
      <c r="C39" s="1">
        <v>4.6666666666666669E-2</v>
      </c>
      <c r="D39" s="1">
        <v>0.89266666666666661</v>
      </c>
      <c r="E39" s="1">
        <v>0.15366666666666667</v>
      </c>
      <c r="F39" s="1">
        <v>0.10466666666666667</v>
      </c>
      <c r="G39" s="15">
        <v>0</v>
      </c>
    </row>
    <row r="40" spans="1:7" x14ac:dyDescent="0.35">
      <c r="A40" s="22">
        <v>19419</v>
      </c>
      <c r="B40" s="1">
        <v>3.5196666666666663</v>
      </c>
      <c r="C40" s="1">
        <v>0.46566666666666667</v>
      </c>
      <c r="D40" s="1">
        <v>0.8650000000000001</v>
      </c>
      <c r="E40" s="1">
        <v>0.20199999999999999</v>
      </c>
      <c r="F40" s="1">
        <v>0.21166666666666667</v>
      </c>
      <c r="G40" s="15">
        <v>0.48966666666666669</v>
      </c>
    </row>
    <row r="41" spans="1:7" x14ac:dyDescent="0.35">
      <c r="A41" s="22">
        <v>19450</v>
      </c>
      <c r="B41" s="1">
        <v>0.35166666666666663</v>
      </c>
      <c r="C41" s="1">
        <v>3.1099999999999999E-2</v>
      </c>
      <c r="D41" s="1">
        <v>0.51300000000000001</v>
      </c>
      <c r="E41" s="1">
        <v>0.11533333333333333</v>
      </c>
      <c r="F41" s="1">
        <v>0.27066666666666667</v>
      </c>
      <c r="G41" s="15">
        <v>5.6386666666666665</v>
      </c>
    </row>
    <row r="42" spans="1:7" x14ac:dyDescent="0.35">
      <c r="A42" s="22">
        <v>19480</v>
      </c>
      <c r="B42" s="1">
        <v>0.92099999999999993</v>
      </c>
      <c r="C42" s="1">
        <v>3.6999999999999998E-2</v>
      </c>
      <c r="D42" s="1">
        <v>0.35400000000000004</v>
      </c>
      <c r="E42" s="1">
        <v>0</v>
      </c>
      <c r="F42" s="1">
        <v>0.20499999999999999</v>
      </c>
      <c r="G42" s="15">
        <v>1.9953333333333332</v>
      </c>
    </row>
    <row r="43" spans="1:7" x14ac:dyDescent="0.35">
      <c r="A43" s="22">
        <v>19511</v>
      </c>
      <c r="B43" s="1">
        <v>1.986</v>
      </c>
      <c r="C43" s="1">
        <v>1.7866666666666666E-2</v>
      </c>
      <c r="D43" s="1">
        <v>0.22333333333333336</v>
      </c>
      <c r="E43" s="1">
        <v>0</v>
      </c>
      <c r="F43" s="1">
        <v>3.7666666666666668E-2</v>
      </c>
      <c r="G43" s="15">
        <v>0</v>
      </c>
    </row>
    <row r="44" spans="1:7" x14ac:dyDescent="0.35">
      <c r="A44" s="22">
        <v>19541</v>
      </c>
      <c r="B44" s="1">
        <v>5.4686666666666666</v>
      </c>
      <c r="C44" s="1">
        <v>1.0933333333333335E-2</v>
      </c>
      <c r="D44" s="1">
        <v>0.52966666666666662</v>
      </c>
      <c r="E44" s="1">
        <v>0</v>
      </c>
      <c r="F44" s="1">
        <v>4.1333333333333333E-2</v>
      </c>
      <c r="G44" s="15">
        <v>1.1140000000000001</v>
      </c>
    </row>
    <row r="45" spans="1:7" x14ac:dyDescent="0.35">
      <c r="A45" s="22">
        <v>19572</v>
      </c>
      <c r="B45" s="1">
        <v>3.1496666666666666</v>
      </c>
      <c r="C45" s="1">
        <v>0.41533333333333333</v>
      </c>
      <c r="D45" s="1">
        <v>3.1910000000000003</v>
      </c>
      <c r="E45" s="1">
        <v>0.63</v>
      </c>
      <c r="F45" s="1">
        <v>1.109</v>
      </c>
      <c r="G45" s="15">
        <v>137.35</v>
      </c>
    </row>
    <row r="46" spans="1:7" x14ac:dyDescent="0.35">
      <c r="A46" s="22">
        <v>19603</v>
      </c>
      <c r="B46" s="1">
        <v>9.6623333333333328</v>
      </c>
      <c r="C46" s="1">
        <v>0.77133333333333332</v>
      </c>
      <c r="D46" s="1">
        <v>8.2016666666666662</v>
      </c>
      <c r="E46" s="1">
        <v>13.970333333333334</v>
      </c>
      <c r="F46" s="1">
        <v>8.8783333333333339</v>
      </c>
      <c r="G46" s="15">
        <v>47.473999999999997</v>
      </c>
    </row>
    <row r="47" spans="1:7" x14ac:dyDescent="0.35">
      <c r="A47" s="22">
        <v>19633</v>
      </c>
      <c r="B47" s="39">
        <v>2.4216666666666664</v>
      </c>
      <c r="C47" s="39">
        <v>1.9300000000000001E-2</v>
      </c>
      <c r="D47" s="39">
        <v>2.529666666666667</v>
      </c>
      <c r="E47" s="39">
        <v>2.6396666666666664</v>
      </c>
      <c r="F47" s="39">
        <v>0.128</v>
      </c>
      <c r="G47" s="40">
        <v>10.646333333333333</v>
      </c>
    </row>
    <row r="48" spans="1:7" x14ac:dyDescent="0.35">
      <c r="A48" s="22">
        <v>19664</v>
      </c>
      <c r="B48" s="1">
        <v>3.9103333333333334</v>
      </c>
      <c r="C48" s="1">
        <v>1.47E-2</v>
      </c>
      <c r="D48" s="1">
        <v>1.212</v>
      </c>
      <c r="E48" s="1">
        <v>1.7226666666666668</v>
      </c>
      <c r="F48" s="1">
        <v>0.152</v>
      </c>
      <c r="G48" s="15">
        <v>0.58266666666666667</v>
      </c>
    </row>
    <row r="49" spans="1:7" x14ac:dyDescent="0.35">
      <c r="A49" s="22">
        <v>19694</v>
      </c>
      <c r="B49" s="1">
        <v>4.0869999999999997</v>
      </c>
      <c r="C49" s="1">
        <v>1.6400000000000001E-2</v>
      </c>
      <c r="D49" s="1">
        <v>1.5016666666666667</v>
      </c>
      <c r="E49" s="1">
        <v>1.1870000000000001</v>
      </c>
      <c r="F49" s="1">
        <v>0.13699999999999998</v>
      </c>
      <c r="G49" s="15">
        <v>6.9666666666666668E-2</v>
      </c>
    </row>
    <row r="50" spans="1:7" x14ac:dyDescent="0.35">
      <c r="A50" s="22">
        <v>19725</v>
      </c>
      <c r="B50" s="1">
        <v>4.7463333333333333</v>
      </c>
      <c r="C50" s="1">
        <v>1.2966666666666666E-2</v>
      </c>
      <c r="D50" s="1">
        <v>1.4516666666666669</v>
      </c>
      <c r="E50" s="1">
        <v>0.91299999999999992</v>
      </c>
      <c r="F50" s="1">
        <v>0.23833333333333331</v>
      </c>
      <c r="G50" s="15">
        <v>2.9999999999999996E-3</v>
      </c>
    </row>
    <row r="51" spans="1:7" x14ac:dyDescent="0.35">
      <c r="A51" s="22">
        <v>19756</v>
      </c>
      <c r="B51" s="1">
        <v>4.378333333333333</v>
      </c>
      <c r="C51" s="1">
        <v>1.3533333333333333E-2</v>
      </c>
      <c r="D51" s="1">
        <v>1.0290000000000001</v>
      </c>
      <c r="E51" s="1">
        <v>0.57100000000000006</v>
      </c>
      <c r="F51" s="1">
        <v>0.29599999999999999</v>
      </c>
      <c r="G51" s="15">
        <v>1.6666666666666668E-3</v>
      </c>
    </row>
    <row r="52" spans="1:7" x14ac:dyDescent="0.35">
      <c r="A52" s="22">
        <v>19784</v>
      </c>
      <c r="B52" s="1">
        <v>2.2229999999999999</v>
      </c>
      <c r="C52" s="1">
        <v>2.5066666666666668E-2</v>
      </c>
      <c r="D52" s="1">
        <v>1.0103333333333333</v>
      </c>
      <c r="E52" s="1">
        <v>0.3746666666666667</v>
      </c>
      <c r="F52" s="1">
        <v>0.23299999999999998</v>
      </c>
      <c r="G52" s="15">
        <v>0</v>
      </c>
    </row>
    <row r="53" spans="1:7" x14ac:dyDescent="0.35">
      <c r="A53" s="22">
        <v>19815</v>
      </c>
      <c r="B53" s="1">
        <v>0.38033333333333336</v>
      </c>
      <c r="C53" s="1">
        <v>1.2143333333333333</v>
      </c>
      <c r="D53" s="1">
        <v>2.0496666666666665</v>
      </c>
      <c r="E53" s="1">
        <v>0.39033333333333337</v>
      </c>
      <c r="F53" s="1">
        <v>0.37833333333333335</v>
      </c>
      <c r="G53" s="15">
        <v>7.937333333333334</v>
      </c>
    </row>
    <row r="54" spans="1:7" x14ac:dyDescent="0.35">
      <c r="A54" s="22">
        <v>19845</v>
      </c>
      <c r="B54" s="1">
        <v>0.64233333333333331</v>
      </c>
      <c r="C54" s="1">
        <v>1.0726666666666667</v>
      </c>
      <c r="D54" s="1">
        <v>4.5910000000000002</v>
      </c>
      <c r="E54" s="1">
        <v>3.7483333333333331</v>
      </c>
      <c r="F54" s="1">
        <v>6.6360000000000001</v>
      </c>
      <c r="G54" s="15">
        <v>18.594999999999999</v>
      </c>
    </row>
    <row r="55" spans="1:7" x14ac:dyDescent="0.35">
      <c r="A55" s="22">
        <v>19876</v>
      </c>
      <c r="B55" s="1">
        <v>0.31266666666666665</v>
      </c>
      <c r="C55" s="1">
        <v>5.0529999999999999</v>
      </c>
      <c r="D55" s="1">
        <v>8.3816666666666659</v>
      </c>
      <c r="E55" s="1">
        <v>4.6463333333333336</v>
      </c>
      <c r="F55" s="1">
        <v>1.2036666666666667</v>
      </c>
      <c r="G55" s="15">
        <v>0.84266666666666667</v>
      </c>
    </row>
    <row r="56" spans="1:7" x14ac:dyDescent="0.35">
      <c r="A56" s="22">
        <v>19906</v>
      </c>
      <c r="B56" s="1">
        <v>6.012666666666667</v>
      </c>
      <c r="C56" s="1">
        <v>0.14699999999999999</v>
      </c>
      <c r="D56" s="1">
        <v>4.9479999999999995</v>
      </c>
      <c r="E56" s="1">
        <v>2.9483333333333337</v>
      </c>
      <c r="F56" s="1">
        <v>0.60366666666666668</v>
      </c>
      <c r="G56" s="15">
        <v>3.4999999999999996E-2</v>
      </c>
    </row>
    <row r="57" spans="1:7" x14ac:dyDescent="0.35">
      <c r="A57" s="22">
        <v>19937</v>
      </c>
      <c r="B57" s="1">
        <v>54.242666666666672</v>
      </c>
      <c r="C57" s="1">
        <v>5.8333333333333327E-2</v>
      </c>
      <c r="D57" s="1">
        <v>2.3180000000000001</v>
      </c>
      <c r="E57" s="1">
        <v>1.6910000000000001</v>
      </c>
      <c r="F57" s="1">
        <v>7.2666666666666671E-2</v>
      </c>
      <c r="G57" s="15">
        <v>1.4400000000000001E-3</v>
      </c>
    </row>
    <row r="58" spans="1:7" x14ac:dyDescent="0.35">
      <c r="A58" s="22">
        <v>19968</v>
      </c>
      <c r="B58" s="1">
        <v>20.568000000000001</v>
      </c>
      <c r="C58" s="1">
        <v>2.1533333333333333</v>
      </c>
      <c r="D58" s="1">
        <v>1.7753333333333332</v>
      </c>
      <c r="E58" s="1">
        <v>0.96299999999999997</v>
      </c>
      <c r="F58" s="1">
        <v>5.6000000000000001E-2</v>
      </c>
      <c r="G58" s="15">
        <v>1.1746666666666667</v>
      </c>
    </row>
    <row r="59" spans="1:7" x14ac:dyDescent="0.35">
      <c r="A59" s="22">
        <v>19998</v>
      </c>
      <c r="B59" s="1">
        <v>10.319666666666667</v>
      </c>
      <c r="C59" s="1">
        <v>3.1869999999999998</v>
      </c>
      <c r="D59" s="1">
        <v>5.4753333333333325</v>
      </c>
      <c r="E59" s="1">
        <v>1.2316666666666667</v>
      </c>
      <c r="F59" s="1">
        <v>0.13200000000000001</v>
      </c>
      <c r="G59" s="15">
        <v>2.8456666666666668</v>
      </c>
    </row>
    <row r="60" spans="1:7" x14ac:dyDescent="0.35">
      <c r="A60" s="22">
        <v>20029</v>
      </c>
      <c r="B60" s="1">
        <v>5.6836666666666664</v>
      </c>
      <c r="C60" s="1">
        <v>0.111</v>
      </c>
      <c r="D60" s="1">
        <v>2.1943333333333332</v>
      </c>
      <c r="E60" s="1">
        <v>1.4690000000000001</v>
      </c>
      <c r="F60" s="1">
        <v>0.10466666666666667</v>
      </c>
      <c r="G60" s="15">
        <v>1.0713333333333332</v>
      </c>
    </row>
    <row r="61" spans="1:7" x14ac:dyDescent="0.35">
      <c r="A61" s="22">
        <v>20059</v>
      </c>
      <c r="B61" s="1">
        <v>4.2456666666666667</v>
      </c>
      <c r="C61" s="1">
        <v>0.107</v>
      </c>
      <c r="D61" s="1">
        <v>1.6929999999999998</v>
      </c>
      <c r="E61" s="1">
        <v>0.98433333333333328</v>
      </c>
      <c r="F61" s="1">
        <v>0.12833333333333333</v>
      </c>
      <c r="G61" s="15">
        <v>0</v>
      </c>
    </row>
    <row r="62" spans="1:7" x14ac:dyDescent="0.35">
      <c r="A62" s="22">
        <v>20090</v>
      </c>
      <c r="B62" s="1">
        <v>5.6903333333333341</v>
      </c>
      <c r="C62" s="1">
        <v>0.13599999999999998</v>
      </c>
      <c r="D62" s="1">
        <v>1.7713333333333334</v>
      </c>
      <c r="E62" s="1">
        <v>0.77733333333333332</v>
      </c>
      <c r="F62" s="1">
        <v>6.7666666666666667E-2</v>
      </c>
      <c r="G62" s="15">
        <v>0</v>
      </c>
    </row>
    <row r="63" spans="1:7" x14ac:dyDescent="0.35">
      <c r="A63" s="22">
        <v>20121</v>
      </c>
      <c r="B63" s="1">
        <v>4.8356666666666666</v>
      </c>
      <c r="C63" s="1">
        <v>0.14933333333333335</v>
      </c>
      <c r="D63" s="1">
        <v>1.4560000000000002</v>
      </c>
      <c r="E63" s="1">
        <v>0.51666666666666672</v>
      </c>
      <c r="F63" s="1">
        <v>8.4000000000000005E-2</v>
      </c>
      <c r="G63" s="15">
        <v>0</v>
      </c>
    </row>
    <row r="64" spans="1:7" x14ac:dyDescent="0.35">
      <c r="A64" s="22">
        <v>20149</v>
      </c>
      <c r="B64" s="1">
        <v>2.6096666666666666</v>
      </c>
      <c r="C64" s="1">
        <v>0.12133333333333333</v>
      </c>
      <c r="D64" s="1">
        <v>1.3176666666666665</v>
      </c>
      <c r="E64" s="1">
        <v>0.41833333333333328</v>
      </c>
      <c r="F64" s="1">
        <v>4.1333333333333333E-2</v>
      </c>
      <c r="G64" s="15">
        <v>0</v>
      </c>
    </row>
    <row r="65" spans="1:7" x14ac:dyDescent="0.35">
      <c r="A65" s="22">
        <v>20180</v>
      </c>
      <c r="B65" s="1">
        <v>0.11566666666666665</v>
      </c>
      <c r="C65" s="1">
        <v>0.155</v>
      </c>
      <c r="D65" s="1">
        <v>1.0036666666666667</v>
      </c>
      <c r="E65" s="1">
        <v>0.20866666666666667</v>
      </c>
      <c r="F65" s="1">
        <v>3.4666666666666665E-2</v>
      </c>
      <c r="G65" s="15">
        <v>0</v>
      </c>
    </row>
    <row r="66" spans="1:7" x14ac:dyDescent="0.35">
      <c r="A66" s="22">
        <v>20210</v>
      </c>
      <c r="B66" s="1">
        <v>0.13133333333333333</v>
      </c>
      <c r="C66" s="1">
        <v>0.19833333333333333</v>
      </c>
      <c r="D66" s="1">
        <v>1.7733333333333334</v>
      </c>
      <c r="E66" s="1">
        <v>0.16133333333333333</v>
      </c>
      <c r="F66" s="1">
        <v>6.3333333333333339E-2</v>
      </c>
      <c r="G66" s="15">
        <v>7.0249999999999995</v>
      </c>
    </row>
    <row r="67" spans="1:7" x14ac:dyDescent="0.35">
      <c r="A67" s="22">
        <v>20241</v>
      </c>
      <c r="B67" s="1">
        <v>0.49199999999999999</v>
      </c>
      <c r="C67" s="1">
        <v>0.26533333333333337</v>
      </c>
      <c r="D67" s="1">
        <v>1.3376666666666666</v>
      </c>
      <c r="E67" s="1">
        <v>9.7333333333333327E-2</v>
      </c>
      <c r="F67" s="1">
        <v>2.4766666666666669E-2</v>
      </c>
      <c r="G67" s="15">
        <v>2.0979999999999999</v>
      </c>
    </row>
    <row r="68" spans="1:7" x14ac:dyDescent="0.35">
      <c r="A68" s="22">
        <v>20271</v>
      </c>
      <c r="B68" s="1">
        <v>28.172666666666668</v>
      </c>
      <c r="C68" s="1">
        <v>0.24733333333333332</v>
      </c>
      <c r="D68" s="1">
        <v>0.84766666666666668</v>
      </c>
      <c r="E68" s="1">
        <v>1.1999999999999999E-2</v>
      </c>
      <c r="F68" s="1">
        <v>2.4953333333333334</v>
      </c>
      <c r="G68" s="15">
        <v>0.08</v>
      </c>
    </row>
    <row r="69" spans="1:7" x14ac:dyDescent="0.35">
      <c r="A69" s="22">
        <v>20302</v>
      </c>
      <c r="B69" s="1">
        <v>60.546333333333337</v>
      </c>
      <c r="C69" s="1">
        <v>0.20266666666666666</v>
      </c>
      <c r="D69" s="1">
        <v>1.2376666666666667</v>
      </c>
      <c r="E69" s="1">
        <v>0.63566666666666671</v>
      </c>
      <c r="F69" s="1">
        <v>1.1180000000000001</v>
      </c>
      <c r="G69" s="15">
        <v>13.033333333333333</v>
      </c>
    </row>
    <row r="70" spans="1:7" x14ac:dyDescent="0.35">
      <c r="A70" s="22">
        <v>20333</v>
      </c>
      <c r="B70" s="1">
        <v>28.946999999999999</v>
      </c>
      <c r="C70" s="1">
        <v>0.128</v>
      </c>
      <c r="D70" s="1">
        <v>1.1553333333333333</v>
      </c>
      <c r="E70" s="1">
        <v>7.9000000000000001E-2</v>
      </c>
      <c r="F70" s="1">
        <v>7.8E-2</v>
      </c>
      <c r="G70" s="15">
        <v>59.531333333333329</v>
      </c>
    </row>
    <row r="71" spans="1:7" x14ac:dyDescent="0.35">
      <c r="A71" s="22">
        <v>20363</v>
      </c>
      <c r="B71" s="1">
        <v>51.903333333333336</v>
      </c>
      <c r="C71" s="1">
        <v>0.10533333333333333</v>
      </c>
      <c r="D71" s="1">
        <v>1.0623333333333334</v>
      </c>
      <c r="E71" s="1">
        <v>0.23466666666666666</v>
      </c>
      <c r="F71" s="1">
        <v>4.6000000000000006E-2</v>
      </c>
      <c r="G71" s="15">
        <v>3.919</v>
      </c>
    </row>
    <row r="72" spans="1:7" x14ac:dyDescent="0.35">
      <c r="A72" s="22">
        <v>20394</v>
      </c>
      <c r="B72" s="1">
        <v>11.479666666666667</v>
      </c>
      <c r="C72" s="1">
        <v>9.3000000000000013E-2</v>
      </c>
      <c r="D72" s="1">
        <v>1.0546666666666666</v>
      </c>
      <c r="E72" s="1">
        <v>0.30533333333333335</v>
      </c>
      <c r="F72" s="1">
        <v>4.0333333333333332E-2</v>
      </c>
      <c r="G72" s="15">
        <v>1.0156666666666667</v>
      </c>
    </row>
    <row r="73" spans="1:7" x14ac:dyDescent="0.35">
      <c r="A73" s="22">
        <v>20424</v>
      </c>
      <c r="B73" s="1">
        <v>7.6390000000000002</v>
      </c>
      <c r="C73" s="1">
        <v>9.2000000000000012E-2</v>
      </c>
      <c r="D73" s="1">
        <v>1.0766666666666667</v>
      </c>
      <c r="E73" s="1">
        <v>0.35666666666666669</v>
      </c>
      <c r="F73" s="1">
        <v>3.6999999999999998E-2</v>
      </c>
      <c r="G73" s="15">
        <v>6.6666666666666666E-2</v>
      </c>
    </row>
    <row r="74" spans="1:7" x14ac:dyDescent="0.35">
      <c r="A74" s="22">
        <v>20455</v>
      </c>
      <c r="B74" s="1">
        <v>6.649</v>
      </c>
      <c r="C74" s="1">
        <v>9.2000000000000012E-2</v>
      </c>
      <c r="D74" s="1">
        <v>1.28</v>
      </c>
      <c r="E74" s="1">
        <v>0.36233333333333334</v>
      </c>
      <c r="F74" s="1">
        <v>4.1333333333333333E-2</v>
      </c>
      <c r="G74" s="15">
        <v>1.1533333333333333E-3</v>
      </c>
    </row>
    <row r="75" spans="1:7" x14ac:dyDescent="0.35">
      <c r="A75" s="22">
        <v>20486</v>
      </c>
      <c r="B75" s="1">
        <v>7.7510000000000003</v>
      </c>
      <c r="C75" s="1">
        <v>6.8666666666666668E-2</v>
      </c>
      <c r="D75" s="1">
        <v>0.80966666666666665</v>
      </c>
      <c r="E75" s="1">
        <v>0.22500000000000001</v>
      </c>
      <c r="F75" s="1">
        <v>8.7666666666666671E-2</v>
      </c>
      <c r="G75" s="15">
        <v>0</v>
      </c>
    </row>
    <row r="76" spans="1:7" x14ac:dyDescent="0.35">
      <c r="A76" s="22">
        <v>20515</v>
      </c>
      <c r="B76" s="1">
        <v>5.234</v>
      </c>
      <c r="C76" s="1">
        <v>8.9333333333333334E-2</v>
      </c>
      <c r="D76" s="1">
        <v>0.64400000000000002</v>
      </c>
      <c r="E76" s="1">
        <v>0.17166666666666666</v>
      </c>
      <c r="F76" s="1">
        <v>4.5666666666666668E-2</v>
      </c>
      <c r="G76" s="15">
        <v>0</v>
      </c>
    </row>
    <row r="77" spans="1:7" x14ac:dyDescent="0.35">
      <c r="A77" s="22">
        <v>20546</v>
      </c>
      <c r="B77" s="1">
        <v>1.1636666666666666</v>
      </c>
      <c r="C77" s="1">
        <v>8.4666666666666668E-2</v>
      </c>
      <c r="D77" s="1">
        <v>0.60466666666666669</v>
      </c>
      <c r="E77" s="1">
        <v>4.2666666666666665E-2</v>
      </c>
      <c r="F77" s="1">
        <v>6.0999999999999999E-2</v>
      </c>
      <c r="G77" s="15">
        <v>0</v>
      </c>
    </row>
    <row r="78" spans="1:7" x14ac:dyDescent="0.35">
      <c r="A78" s="22">
        <v>20576</v>
      </c>
      <c r="B78" s="1">
        <v>2.6393333333333335</v>
      </c>
      <c r="C78" s="1">
        <v>6.6666666666666666E-2</v>
      </c>
      <c r="D78" s="1">
        <v>0.44166666666666665</v>
      </c>
      <c r="E78" s="1">
        <v>0.104</v>
      </c>
      <c r="F78" s="1">
        <v>0.27733333333333332</v>
      </c>
      <c r="G78" s="15">
        <v>1.9883333333333333</v>
      </c>
    </row>
    <row r="79" spans="1:7" x14ac:dyDescent="0.35">
      <c r="A79" s="22">
        <v>20607</v>
      </c>
      <c r="B79" s="1">
        <v>4.6273333333333335</v>
      </c>
      <c r="C79" s="1">
        <v>6.4000000000000001E-2</v>
      </c>
      <c r="D79" s="1">
        <v>0.24199999999999999</v>
      </c>
      <c r="E79" s="1">
        <v>0</v>
      </c>
      <c r="F79" s="1">
        <v>3.3333333333333333E-2</v>
      </c>
      <c r="G79" s="15">
        <v>0</v>
      </c>
    </row>
    <row r="80" spans="1:7" x14ac:dyDescent="0.35">
      <c r="A80" s="22">
        <v>20637</v>
      </c>
      <c r="B80" s="1">
        <v>4.0176666666666669</v>
      </c>
      <c r="C80" s="1">
        <v>3.9333333333333331E-2</v>
      </c>
      <c r="D80" s="1">
        <v>0.20166666666666666</v>
      </c>
      <c r="E80" s="1">
        <v>0</v>
      </c>
      <c r="F80" s="1">
        <v>5.3666666666666668E-2</v>
      </c>
      <c r="G80" s="15">
        <v>0</v>
      </c>
    </row>
    <row r="81" spans="1:7" x14ac:dyDescent="0.35">
      <c r="A81" s="22">
        <v>20668</v>
      </c>
      <c r="B81" s="1">
        <v>9.9723333333333333</v>
      </c>
      <c r="C81" s="1">
        <v>3.5666666666666666E-2</v>
      </c>
      <c r="D81" s="1">
        <v>0.30333333333333334</v>
      </c>
      <c r="E81" s="1">
        <v>0</v>
      </c>
      <c r="F81" s="1">
        <v>2.0733333333333333E-2</v>
      </c>
      <c r="G81" s="15">
        <v>6.3333333333333332E-3</v>
      </c>
    </row>
    <row r="82" spans="1:7" x14ac:dyDescent="0.35">
      <c r="A82" s="22">
        <v>20699</v>
      </c>
      <c r="B82" s="1">
        <v>11.906000000000001</v>
      </c>
      <c r="C82" s="1">
        <v>0.96699999999999997</v>
      </c>
      <c r="D82" s="1">
        <v>0.5076666666666666</v>
      </c>
      <c r="E82" s="1">
        <v>4.3666666666666666E-2</v>
      </c>
      <c r="F82" s="1">
        <v>3.6999999999999998E-2</v>
      </c>
      <c r="G82" s="15">
        <v>14.911999999999999</v>
      </c>
    </row>
    <row r="83" spans="1:7" x14ac:dyDescent="0.35">
      <c r="A83" s="22">
        <v>20729</v>
      </c>
      <c r="B83" s="1">
        <v>8.3516666666666666</v>
      </c>
      <c r="C83" s="1">
        <v>0.80799999999999994</v>
      </c>
      <c r="D83" s="1">
        <v>1.3416666666666668</v>
      </c>
      <c r="E83" s="1">
        <v>0</v>
      </c>
      <c r="F83" s="1">
        <v>1.7866666666666666E-2</v>
      </c>
      <c r="G83" s="15">
        <v>4.5333333333333337E-2</v>
      </c>
    </row>
    <row r="84" spans="1:7" x14ac:dyDescent="0.35">
      <c r="A84" s="22">
        <v>20760</v>
      </c>
      <c r="B84" s="1">
        <v>8.4143333333333334</v>
      </c>
      <c r="C84" s="1">
        <v>3.4666666666666665E-2</v>
      </c>
      <c r="D84" s="1">
        <v>0.33</v>
      </c>
      <c r="E84" s="1">
        <v>0</v>
      </c>
      <c r="F84" s="1">
        <v>1.7866666666666666E-2</v>
      </c>
      <c r="G84" s="15">
        <v>0</v>
      </c>
    </row>
    <row r="85" spans="1:7" x14ac:dyDescent="0.35">
      <c r="A85" s="22">
        <v>20790</v>
      </c>
      <c r="B85" s="1">
        <v>7.8256666666666668</v>
      </c>
      <c r="C85" s="1">
        <v>3.8666666666666669E-2</v>
      </c>
      <c r="D85" s="1">
        <v>0.46300000000000002</v>
      </c>
      <c r="E85" s="1">
        <v>0</v>
      </c>
      <c r="F85" s="1">
        <v>2.7633333333333333E-2</v>
      </c>
      <c r="G85" s="15">
        <v>0</v>
      </c>
    </row>
    <row r="86" spans="1:7" x14ac:dyDescent="0.35">
      <c r="A86" s="22">
        <v>20821</v>
      </c>
      <c r="B86" s="1">
        <v>8.1950000000000003</v>
      </c>
      <c r="C86" s="1">
        <v>4.3666666666666666E-2</v>
      </c>
      <c r="D86" s="1">
        <v>0.76666666666666661</v>
      </c>
      <c r="E86" s="1">
        <v>0</v>
      </c>
      <c r="F86" s="1">
        <v>1.7866666666666666E-2</v>
      </c>
      <c r="G86" s="15">
        <v>0</v>
      </c>
    </row>
    <row r="87" spans="1:7" x14ac:dyDescent="0.35">
      <c r="A87" s="22">
        <v>20852</v>
      </c>
      <c r="B87" s="1">
        <v>8.6936666666666671</v>
      </c>
      <c r="C87" s="1">
        <v>3.7333333333333336E-2</v>
      </c>
      <c r="D87" s="1">
        <v>0.437</v>
      </c>
      <c r="E87" s="1">
        <v>0</v>
      </c>
      <c r="F87" s="1">
        <v>1.6133333333333333E-2</v>
      </c>
      <c r="G87" s="15">
        <v>0.6173333333333334</v>
      </c>
    </row>
    <row r="88" spans="1:7" x14ac:dyDescent="0.35">
      <c r="A88" s="22">
        <v>20880</v>
      </c>
      <c r="B88" s="1">
        <v>5.2296666666666667</v>
      </c>
      <c r="C88" s="1">
        <v>0.7443333333333334</v>
      </c>
      <c r="D88" s="1">
        <v>0.55266666666666664</v>
      </c>
      <c r="E88" s="1">
        <v>0.18700000000000003</v>
      </c>
      <c r="F88" s="1">
        <v>0.17400000000000002</v>
      </c>
      <c r="G88" s="15">
        <v>0.44800000000000001</v>
      </c>
    </row>
    <row r="89" spans="1:7" x14ac:dyDescent="0.35">
      <c r="A89" s="22">
        <v>20911</v>
      </c>
      <c r="B89" s="1">
        <v>2.8960000000000004</v>
      </c>
      <c r="C89" s="1">
        <v>6.8276666666666666</v>
      </c>
      <c r="D89" s="1">
        <v>16.559333333333331</v>
      </c>
      <c r="E89" s="1">
        <v>6.8180000000000005</v>
      </c>
      <c r="F89" s="1">
        <v>9.0229999999999997</v>
      </c>
      <c r="G89" s="15">
        <v>1.2223333333333333</v>
      </c>
    </row>
    <row r="90" spans="1:7" x14ac:dyDescent="0.35">
      <c r="A90" s="22">
        <v>20941</v>
      </c>
      <c r="B90" s="1">
        <v>11.176</v>
      </c>
      <c r="C90" s="1">
        <v>1.6893333333333331</v>
      </c>
      <c r="D90" s="1">
        <v>26.932000000000002</v>
      </c>
      <c r="E90" s="1">
        <v>11.409333333333334</v>
      </c>
      <c r="F90" s="1">
        <v>10.472666666666667</v>
      </c>
      <c r="G90" s="15">
        <v>6.0923333333333334</v>
      </c>
    </row>
    <row r="91" spans="1:7" x14ac:dyDescent="0.35">
      <c r="A91" s="22">
        <v>20972</v>
      </c>
      <c r="B91" s="1">
        <v>8.7553333333333327</v>
      </c>
      <c r="C91" s="1">
        <v>0.26833333333333337</v>
      </c>
      <c r="D91" s="1">
        <v>7.2983333333333329</v>
      </c>
      <c r="E91" s="1">
        <v>1.2443333333333333</v>
      </c>
      <c r="F91" s="1">
        <v>0.46066666666666661</v>
      </c>
      <c r="G91" s="15">
        <v>7.7679999999999998</v>
      </c>
    </row>
    <row r="92" spans="1:7" x14ac:dyDescent="0.35">
      <c r="A92" s="22">
        <v>21002</v>
      </c>
      <c r="B92" s="1">
        <v>5.5133333333333328</v>
      </c>
      <c r="C92" s="1">
        <v>8.9333333333333334E-2</v>
      </c>
      <c r="D92" s="1">
        <v>1.0386666666666666</v>
      </c>
      <c r="E92" s="1">
        <v>0.10299999999999999</v>
      </c>
      <c r="F92" s="1">
        <v>5.6000000000000001E-2</v>
      </c>
      <c r="G92" s="15">
        <v>0</v>
      </c>
    </row>
    <row r="93" spans="1:7" x14ac:dyDescent="0.35">
      <c r="A93" s="22">
        <v>21033</v>
      </c>
      <c r="B93" s="1">
        <v>18.180666666666667</v>
      </c>
      <c r="C93" s="1">
        <v>6.1666666666666668E-2</v>
      </c>
      <c r="D93" s="1">
        <v>0.51033333333333331</v>
      </c>
      <c r="E93" s="1">
        <v>0</v>
      </c>
      <c r="F93" s="1">
        <v>1.4400000000000001E-2</v>
      </c>
      <c r="G93" s="15">
        <v>0</v>
      </c>
    </row>
    <row r="94" spans="1:7" x14ac:dyDescent="0.35">
      <c r="A94" s="22">
        <v>21064</v>
      </c>
      <c r="B94" s="1">
        <v>8.0066666666666659</v>
      </c>
      <c r="C94" s="1">
        <v>0.10466666666666667</v>
      </c>
      <c r="D94" s="1">
        <v>1.444</v>
      </c>
      <c r="E94" s="1">
        <v>0</v>
      </c>
      <c r="F94" s="1">
        <v>1.41E-2</v>
      </c>
      <c r="G94" s="15">
        <v>6.5003333333333337</v>
      </c>
    </row>
    <row r="95" spans="1:7" x14ac:dyDescent="0.35">
      <c r="A95" s="22">
        <v>21094</v>
      </c>
      <c r="B95" s="1">
        <v>30.381333333333334</v>
      </c>
      <c r="C95" s="1">
        <v>0.81866666666666665</v>
      </c>
      <c r="D95" s="1">
        <v>1.8703333333333332</v>
      </c>
      <c r="E95" s="1">
        <v>5.0666666666666665E-2</v>
      </c>
      <c r="F95" s="1">
        <v>0.3753333333333333</v>
      </c>
      <c r="G95" s="15">
        <v>0.57700000000000007</v>
      </c>
    </row>
    <row r="96" spans="1:7" x14ac:dyDescent="0.35">
      <c r="A96" s="22">
        <v>21125</v>
      </c>
      <c r="B96" s="1">
        <v>9.2863333333333333</v>
      </c>
      <c r="C96" s="1">
        <v>0.13699999999999998</v>
      </c>
      <c r="D96" s="1">
        <v>0.96066666666666667</v>
      </c>
      <c r="E96" s="1">
        <v>0.17466666666666666</v>
      </c>
      <c r="F96" s="1">
        <v>2.7066666666666666E-2</v>
      </c>
      <c r="G96" s="15">
        <v>1.47E-2</v>
      </c>
    </row>
    <row r="97" spans="1:7" x14ac:dyDescent="0.35">
      <c r="A97" s="22">
        <v>21155</v>
      </c>
      <c r="B97" s="1">
        <v>8.613666666666667</v>
      </c>
      <c r="C97" s="1">
        <v>9.0000000000000011E-2</v>
      </c>
      <c r="D97" s="1">
        <v>0.96499999999999997</v>
      </c>
      <c r="E97" s="1">
        <v>0.14833333333333334</v>
      </c>
      <c r="F97" s="1">
        <v>3.8666666666666669E-2</v>
      </c>
      <c r="G97" s="15">
        <v>0</v>
      </c>
    </row>
    <row r="98" spans="1:7" x14ac:dyDescent="0.35">
      <c r="A98" s="22">
        <v>21186</v>
      </c>
      <c r="B98" s="1">
        <v>7.2106666666666674</v>
      </c>
      <c r="C98" s="1">
        <v>0.15633333333333332</v>
      </c>
      <c r="D98" s="1">
        <v>1.3920000000000001</v>
      </c>
      <c r="E98" s="1">
        <v>0.255</v>
      </c>
      <c r="F98" s="1">
        <v>9.0666666666666673E-2</v>
      </c>
      <c r="G98" s="15">
        <v>2.8593333333333333</v>
      </c>
    </row>
    <row r="99" spans="1:7" x14ac:dyDescent="0.35">
      <c r="A99" s="22">
        <v>21217</v>
      </c>
      <c r="B99" s="1">
        <v>6.4206666666666665</v>
      </c>
      <c r="C99" s="1">
        <v>0.14866666666666667</v>
      </c>
      <c r="D99" s="1">
        <v>1.3206666666666667</v>
      </c>
      <c r="E99" s="1">
        <v>0.24333333333333332</v>
      </c>
      <c r="F99" s="1">
        <v>6.533333333333334E-2</v>
      </c>
      <c r="G99" s="15">
        <v>0.219</v>
      </c>
    </row>
    <row r="100" spans="1:7" x14ac:dyDescent="0.35">
      <c r="A100" s="22">
        <v>21245</v>
      </c>
      <c r="B100" s="1">
        <v>3.8130000000000002</v>
      </c>
      <c r="C100" s="1">
        <v>0.17700000000000002</v>
      </c>
      <c r="D100" s="1">
        <v>1.6020000000000001</v>
      </c>
      <c r="E100" s="1">
        <v>0.24866666666666667</v>
      </c>
      <c r="F100" s="1">
        <v>3.7999999999999999E-2</v>
      </c>
      <c r="G100" s="15">
        <v>1.7266666666666665E-3</v>
      </c>
    </row>
    <row r="101" spans="1:7" x14ac:dyDescent="0.35">
      <c r="A101" s="22">
        <v>21276</v>
      </c>
      <c r="B101" s="1">
        <v>0.58933333333333338</v>
      </c>
      <c r="C101" s="1">
        <v>0.11233333333333334</v>
      </c>
      <c r="D101" s="1">
        <v>0.8666666666666667</v>
      </c>
      <c r="E101" s="1">
        <v>6.8333333333333329E-2</v>
      </c>
      <c r="F101" s="1">
        <v>3.3333333333333333E-2</v>
      </c>
      <c r="G101" s="15">
        <v>0</v>
      </c>
    </row>
    <row r="102" spans="1:7" x14ac:dyDescent="0.35">
      <c r="A102" s="22">
        <v>21306</v>
      </c>
      <c r="B102" s="1">
        <v>1.5926666666666665</v>
      </c>
      <c r="C102" s="1">
        <v>3.7313333333333336</v>
      </c>
      <c r="D102" s="1">
        <v>6.2459999999999996</v>
      </c>
      <c r="E102" s="1">
        <v>7.3999999999999996E-2</v>
      </c>
      <c r="F102" s="1">
        <v>0.16533333333333333</v>
      </c>
      <c r="G102" s="15">
        <v>9.783666666666667</v>
      </c>
    </row>
    <row r="103" spans="1:7" x14ac:dyDescent="0.35">
      <c r="A103" s="22">
        <v>21337</v>
      </c>
      <c r="B103" s="1">
        <v>3.1489999999999996</v>
      </c>
      <c r="C103" s="1">
        <v>1.1303333333333334</v>
      </c>
      <c r="D103" s="1">
        <v>2.6780000000000004</v>
      </c>
      <c r="E103" s="1">
        <v>0.63900000000000001</v>
      </c>
      <c r="F103" s="1">
        <v>1.6609999999999998</v>
      </c>
      <c r="G103" s="15">
        <v>6.708333333333333</v>
      </c>
    </row>
    <row r="104" spans="1:7" x14ac:dyDescent="0.35">
      <c r="A104" s="22">
        <v>21367</v>
      </c>
      <c r="B104" s="1">
        <v>0.90200000000000002</v>
      </c>
      <c r="C104" s="1">
        <v>0.41699999999999998</v>
      </c>
      <c r="D104" s="1">
        <v>1.5973333333333333</v>
      </c>
      <c r="E104" s="1">
        <v>0.10633333333333334</v>
      </c>
      <c r="F104" s="1">
        <v>3.9666666666666663E-2</v>
      </c>
      <c r="G104" s="15">
        <v>7.668333333333333</v>
      </c>
    </row>
    <row r="105" spans="1:7" x14ac:dyDescent="0.35">
      <c r="A105" s="22">
        <v>21398</v>
      </c>
      <c r="B105" s="1">
        <v>6.2093333333333334</v>
      </c>
      <c r="C105" s="1">
        <v>9.6999999999999989E-2</v>
      </c>
      <c r="D105" s="1">
        <v>0.68666666666666665</v>
      </c>
      <c r="E105" s="1">
        <v>7.5333333333333335E-2</v>
      </c>
      <c r="F105" s="1">
        <v>0.13233333333333333</v>
      </c>
      <c r="G105" s="15">
        <v>0.68233333333333335</v>
      </c>
    </row>
    <row r="106" spans="1:7" x14ac:dyDescent="0.35">
      <c r="A106" s="22">
        <v>21429</v>
      </c>
      <c r="B106" s="1">
        <v>282.226</v>
      </c>
      <c r="C106" s="1">
        <v>2.7289999999999996</v>
      </c>
      <c r="D106" s="1">
        <v>26.550666666666668</v>
      </c>
      <c r="E106" s="1">
        <v>81.538666666666671</v>
      </c>
      <c r="F106" s="1">
        <v>6.5676666666666668</v>
      </c>
      <c r="G106" s="15">
        <v>147.61799999999999</v>
      </c>
    </row>
    <row r="107" spans="1:7" x14ac:dyDescent="0.35">
      <c r="A107" s="22">
        <v>21459</v>
      </c>
      <c r="B107" s="1">
        <v>399.36966666666666</v>
      </c>
      <c r="C107" s="1">
        <v>0.61699999999999999</v>
      </c>
      <c r="D107" s="1">
        <v>29.534333333333333</v>
      </c>
      <c r="E107" s="1">
        <v>41.080333333333336</v>
      </c>
      <c r="F107" s="1">
        <v>8.4396666666666658</v>
      </c>
      <c r="G107" s="15">
        <v>214.95166666666668</v>
      </c>
    </row>
    <row r="108" spans="1:7" x14ac:dyDescent="0.35">
      <c r="A108" s="22">
        <v>21490</v>
      </c>
      <c r="B108" s="1">
        <v>44.158999999999999</v>
      </c>
      <c r="C108" s="1">
        <v>0.44900000000000001</v>
      </c>
      <c r="D108" s="1">
        <v>26.340333333333334</v>
      </c>
      <c r="E108" s="1">
        <v>17.945333333333334</v>
      </c>
      <c r="F108" s="1">
        <v>10.581</v>
      </c>
      <c r="G108" s="15">
        <v>138.95433333333332</v>
      </c>
    </row>
    <row r="109" spans="1:7" x14ac:dyDescent="0.35">
      <c r="A109" s="22">
        <v>21520</v>
      </c>
      <c r="B109" s="1">
        <v>22.680000000000003</v>
      </c>
      <c r="C109" s="1">
        <v>0.32066666666666666</v>
      </c>
      <c r="D109" s="1">
        <v>18.633666666666667</v>
      </c>
      <c r="E109" s="1">
        <v>7.9993333333333334</v>
      </c>
      <c r="F109" s="1">
        <v>6.3793333333333342</v>
      </c>
      <c r="G109" s="15">
        <v>72.414666666666662</v>
      </c>
    </row>
    <row r="110" spans="1:7" x14ac:dyDescent="0.35">
      <c r="A110" s="22">
        <v>21551</v>
      </c>
      <c r="B110" s="1">
        <v>15.186333333333332</v>
      </c>
      <c r="C110" s="1">
        <v>0.26166666666666666</v>
      </c>
      <c r="D110" s="1">
        <v>13.179</v>
      </c>
      <c r="E110" s="1">
        <v>6.12</v>
      </c>
      <c r="F110" s="1">
        <v>4.269333333333333</v>
      </c>
      <c r="G110" s="15">
        <v>23.463333333333335</v>
      </c>
    </row>
    <row r="111" spans="1:7" x14ac:dyDescent="0.35">
      <c r="A111" s="22">
        <v>21582</v>
      </c>
      <c r="B111" s="1">
        <v>7.8263333333333334</v>
      </c>
      <c r="C111" s="1">
        <v>0.27066666666666667</v>
      </c>
      <c r="D111" s="1">
        <v>9.3339999999999996</v>
      </c>
      <c r="E111" s="1">
        <v>4.4669999999999996</v>
      </c>
      <c r="F111" s="1">
        <v>2.8889999999999998</v>
      </c>
      <c r="G111" s="15">
        <v>27.498333333333335</v>
      </c>
    </row>
    <row r="112" spans="1:7" x14ac:dyDescent="0.35">
      <c r="A112" s="22">
        <v>21610</v>
      </c>
      <c r="B112" s="1">
        <v>7.8319999999999999</v>
      </c>
      <c r="C112" s="1">
        <v>0.25233333333333335</v>
      </c>
      <c r="D112" s="1">
        <v>6.5906666666666665</v>
      </c>
      <c r="E112" s="1">
        <v>3.8236666666666665</v>
      </c>
      <c r="F112" s="1">
        <v>2.1403333333333334</v>
      </c>
      <c r="G112" s="15">
        <v>12.209333333333333</v>
      </c>
    </row>
    <row r="113" spans="1:7" x14ac:dyDescent="0.35">
      <c r="A113" s="22">
        <v>21641</v>
      </c>
      <c r="B113" s="1">
        <v>7.1343333333333332</v>
      </c>
      <c r="C113" s="1">
        <v>0.28066666666666668</v>
      </c>
      <c r="D113" s="1">
        <v>4.1453333333333333</v>
      </c>
      <c r="E113" s="1">
        <v>2.8226666666666667</v>
      </c>
      <c r="F113" s="1">
        <v>1.2736666666666667</v>
      </c>
      <c r="G113" s="15">
        <v>4.5709999999999997</v>
      </c>
    </row>
    <row r="114" spans="1:7" x14ac:dyDescent="0.35">
      <c r="A114" s="22">
        <v>21671</v>
      </c>
      <c r="B114" s="1">
        <v>9.2916666666666661</v>
      </c>
      <c r="C114" s="1">
        <v>1.2756666666666667</v>
      </c>
      <c r="D114" s="1">
        <v>3.7456666666666667</v>
      </c>
      <c r="E114" s="1">
        <v>2.544</v>
      </c>
      <c r="F114" s="1">
        <v>1.2166666666666666</v>
      </c>
      <c r="G114" s="15">
        <v>4.1189999999999998</v>
      </c>
    </row>
    <row r="115" spans="1:7" x14ac:dyDescent="0.35">
      <c r="A115" s="22">
        <v>21702</v>
      </c>
      <c r="B115" s="1">
        <v>7.2566666666666668</v>
      </c>
      <c r="C115" s="1">
        <v>0.79633333333333323</v>
      </c>
      <c r="D115" s="1">
        <v>7.2206666666666663</v>
      </c>
      <c r="E115" s="1">
        <v>1.909</v>
      </c>
      <c r="F115" s="1">
        <v>0.67799999999999994</v>
      </c>
      <c r="G115" s="15">
        <v>2.8893333333333331</v>
      </c>
    </row>
    <row r="116" spans="1:7" x14ac:dyDescent="0.35">
      <c r="A116" s="22">
        <v>21732</v>
      </c>
      <c r="B116" s="1">
        <v>21.700333333333333</v>
      </c>
      <c r="C116" s="1">
        <v>0.18600000000000003</v>
      </c>
      <c r="D116" s="1">
        <v>3.9440000000000004</v>
      </c>
      <c r="E116" s="1">
        <v>1.6783333333333335</v>
      </c>
      <c r="F116" s="1">
        <v>0.53233333333333333</v>
      </c>
      <c r="G116" s="15">
        <v>5.4729999999999999</v>
      </c>
    </row>
    <row r="117" spans="1:7" x14ac:dyDescent="0.35">
      <c r="A117" s="22">
        <v>21763</v>
      </c>
      <c r="B117" s="1">
        <v>50.829000000000001</v>
      </c>
      <c r="C117" s="1">
        <v>0.127</v>
      </c>
      <c r="D117" s="1">
        <v>4.0906666666666665</v>
      </c>
      <c r="E117" s="1">
        <v>2.9193333333333329</v>
      </c>
      <c r="F117" s="1">
        <v>0.5056666666666666</v>
      </c>
      <c r="G117" s="15">
        <v>5.7466666666666661</v>
      </c>
    </row>
    <row r="118" spans="1:7" x14ac:dyDescent="0.35">
      <c r="A118" s="22">
        <v>21794</v>
      </c>
      <c r="B118" s="1">
        <v>57.038333333333334</v>
      </c>
      <c r="C118" s="1">
        <v>0.11533333333333333</v>
      </c>
      <c r="D118" s="1">
        <v>5.4593333333333334</v>
      </c>
      <c r="E118" s="1">
        <v>2.4359999999999999</v>
      </c>
      <c r="F118" s="1">
        <v>9.2000000000000012E-2</v>
      </c>
      <c r="G118" s="15">
        <v>1.8760000000000001</v>
      </c>
    </row>
    <row r="119" spans="1:7" x14ac:dyDescent="0.35">
      <c r="A119" s="22">
        <v>21824</v>
      </c>
      <c r="B119" s="1">
        <v>11.275333333333334</v>
      </c>
      <c r="C119" s="1">
        <v>0.46066666666666661</v>
      </c>
      <c r="D119" s="1">
        <v>8.8049999999999997</v>
      </c>
      <c r="E119" s="1">
        <v>2.4546666666666668</v>
      </c>
      <c r="F119" s="1">
        <v>0.78233333333333333</v>
      </c>
      <c r="G119" s="15">
        <v>2.0369999999999999</v>
      </c>
    </row>
    <row r="120" spans="1:7" x14ac:dyDescent="0.35">
      <c r="A120" s="22">
        <v>21855</v>
      </c>
      <c r="B120" s="1">
        <v>11.537333333333335</v>
      </c>
      <c r="C120" s="1">
        <v>0.109</v>
      </c>
      <c r="D120" s="1">
        <v>7.2273333333333332</v>
      </c>
      <c r="E120" s="1">
        <v>1.8756666666666666</v>
      </c>
      <c r="F120" s="1">
        <v>0.71699999999999997</v>
      </c>
      <c r="G120" s="15">
        <v>1.7366666666666666</v>
      </c>
    </row>
    <row r="121" spans="1:7" x14ac:dyDescent="0.35">
      <c r="A121" s="22">
        <v>21885</v>
      </c>
      <c r="B121" s="1">
        <v>11.983666666666666</v>
      </c>
      <c r="C121" s="1">
        <v>0.13033333333333333</v>
      </c>
      <c r="D121" s="1">
        <v>4.1386666666666665</v>
      </c>
      <c r="E121" s="1">
        <v>1.2406666666666666</v>
      </c>
      <c r="F121" s="1">
        <v>0.64800000000000002</v>
      </c>
      <c r="G121" s="15">
        <v>0.96533333333333327</v>
      </c>
    </row>
    <row r="122" spans="1:7" x14ac:dyDescent="0.35">
      <c r="A122" s="22">
        <v>21916</v>
      </c>
      <c r="B122" s="1">
        <v>21.277333333333335</v>
      </c>
      <c r="C122" s="1">
        <v>9.8333333333333328E-2</v>
      </c>
      <c r="D122" s="1">
        <v>2.9339999999999997</v>
      </c>
      <c r="E122" s="1">
        <v>0.94466666666666665</v>
      </c>
      <c r="F122" s="1">
        <v>0.83533333333333326</v>
      </c>
      <c r="G122" s="15">
        <v>1.0773333333333335</v>
      </c>
    </row>
    <row r="123" spans="1:7" x14ac:dyDescent="0.35">
      <c r="A123" s="22">
        <v>21947</v>
      </c>
      <c r="B123" s="1">
        <v>29.712999999999997</v>
      </c>
      <c r="C123" s="1">
        <v>0.22133333333333335</v>
      </c>
      <c r="D123" s="1">
        <v>3.5239999999999996</v>
      </c>
      <c r="E123" s="1">
        <v>0.6263333333333333</v>
      </c>
      <c r="F123" s="1">
        <v>0.7406666666666667</v>
      </c>
      <c r="G123" s="15">
        <v>0.90633333333333332</v>
      </c>
    </row>
    <row r="124" spans="1:7" x14ac:dyDescent="0.35">
      <c r="A124" s="22">
        <v>21976</v>
      </c>
      <c r="B124" s="1">
        <v>21.185333333333332</v>
      </c>
      <c r="C124" s="1">
        <v>0.15933333333333333</v>
      </c>
      <c r="D124" s="1">
        <v>2.629</v>
      </c>
      <c r="E124" s="1">
        <v>0.56933333333333336</v>
      </c>
      <c r="F124" s="1">
        <v>0.37833333333333335</v>
      </c>
      <c r="G124" s="15">
        <v>0.51466666666666672</v>
      </c>
    </row>
    <row r="125" spans="1:7" x14ac:dyDescent="0.35">
      <c r="A125" s="22">
        <v>22007</v>
      </c>
      <c r="B125" s="1">
        <v>9.3136666666666663</v>
      </c>
      <c r="C125" s="1">
        <v>0.109</v>
      </c>
      <c r="D125" s="1">
        <v>2.4490000000000003</v>
      </c>
      <c r="E125" s="1">
        <v>0.70800000000000007</v>
      </c>
      <c r="F125" s="1">
        <v>0.8876666666666666</v>
      </c>
      <c r="G125" s="15">
        <v>0.67033333333333334</v>
      </c>
    </row>
    <row r="126" spans="1:7" x14ac:dyDescent="0.35">
      <c r="A126" s="22">
        <v>22037</v>
      </c>
      <c r="B126" s="1">
        <v>6.6086666666666671</v>
      </c>
      <c r="C126" s="1">
        <v>4.1666666666666664E-2</v>
      </c>
      <c r="D126" s="1">
        <v>1.458</v>
      </c>
      <c r="E126" s="1">
        <v>0.35499999999999998</v>
      </c>
      <c r="F126" s="1">
        <v>0.38999999999999996</v>
      </c>
      <c r="G126" s="15">
        <v>0.52200000000000002</v>
      </c>
    </row>
    <row r="127" spans="1:7" x14ac:dyDescent="0.35">
      <c r="A127" s="22">
        <v>22068</v>
      </c>
      <c r="B127" s="1">
        <v>8.3916666666666675</v>
      </c>
      <c r="C127" s="1">
        <v>3.4666666666666665E-2</v>
      </c>
      <c r="D127" s="1">
        <v>0.76900000000000002</v>
      </c>
      <c r="E127" s="1">
        <v>0.159</v>
      </c>
      <c r="F127" s="1">
        <v>0.11466666666666665</v>
      </c>
      <c r="G127" s="15">
        <v>3.1986666666666665</v>
      </c>
    </row>
    <row r="128" spans="1:7" x14ac:dyDescent="0.35">
      <c r="A128" s="22">
        <v>22098</v>
      </c>
      <c r="B128" s="1">
        <v>53.435000000000002</v>
      </c>
      <c r="C128" s="1">
        <v>0.28299999999999997</v>
      </c>
      <c r="D128" s="1">
        <v>1.7229999999999999</v>
      </c>
      <c r="E128" s="1">
        <v>0.16666666666666666</v>
      </c>
      <c r="F128" s="1">
        <v>0.42966666666666664</v>
      </c>
      <c r="G128" s="15">
        <v>1.3520000000000001</v>
      </c>
    </row>
    <row r="129" spans="1:7" x14ac:dyDescent="0.35">
      <c r="A129" s="22">
        <v>22129</v>
      </c>
      <c r="B129" s="1">
        <v>82.872</v>
      </c>
      <c r="C129" s="1">
        <v>8.666666666666667E-2</v>
      </c>
      <c r="D129" s="1">
        <v>2.4666666666666668</v>
      </c>
      <c r="E129" s="1">
        <v>0.35033333333333333</v>
      </c>
      <c r="F129" s="1">
        <v>0.24233333333333332</v>
      </c>
      <c r="G129" s="15">
        <v>6.6993333333333327</v>
      </c>
    </row>
    <row r="130" spans="1:7" x14ac:dyDescent="0.35">
      <c r="A130" s="22">
        <v>22160</v>
      </c>
      <c r="B130" s="1">
        <v>46.097333333333331</v>
      </c>
      <c r="C130" s="1">
        <v>4.3333333333333335E-2</v>
      </c>
      <c r="D130" s="1">
        <v>2.7413333333333334</v>
      </c>
      <c r="E130" s="1">
        <v>0.48799999999999999</v>
      </c>
      <c r="F130" s="1">
        <v>5.6333333333333339E-2</v>
      </c>
      <c r="G130" s="15">
        <v>7.5309999999999997</v>
      </c>
    </row>
    <row r="131" spans="1:7" x14ac:dyDescent="0.35">
      <c r="A131" s="22">
        <v>22190</v>
      </c>
      <c r="B131" s="1">
        <v>14.843666666666666</v>
      </c>
      <c r="C131" s="1">
        <v>1.4373333333333334</v>
      </c>
      <c r="D131" s="1">
        <v>10.375333333333334</v>
      </c>
      <c r="E131" s="1">
        <v>4.8040000000000003</v>
      </c>
      <c r="F131" s="1">
        <v>4.47</v>
      </c>
      <c r="G131" s="15">
        <v>2.6139999999999999</v>
      </c>
    </row>
    <row r="132" spans="1:7" x14ac:dyDescent="0.35">
      <c r="A132" s="22">
        <v>22221</v>
      </c>
      <c r="B132" s="1">
        <v>21.052666666666667</v>
      </c>
      <c r="C132" s="1">
        <v>8.900000000000001E-2</v>
      </c>
      <c r="D132" s="1">
        <v>5.6773333333333333</v>
      </c>
      <c r="E132" s="1">
        <v>2.3986666666666667</v>
      </c>
      <c r="F132" s="1">
        <v>0.68199999999999994</v>
      </c>
      <c r="G132" s="15">
        <v>1.5330000000000001</v>
      </c>
    </row>
    <row r="133" spans="1:7" x14ac:dyDescent="0.35">
      <c r="A133" s="22">
        <v>22251</v>
      </c>
      <c r="B133" s="1">
        <v>25.646333333333331</v>
      </c>
      <c r="C133" s="1">
        <v>0.17900000000000002</v>
      </c>
      <c r="D133" s="1">
        <v>3.466333333333333</v>
      </c>
      <c r="E133" s="1">
        <v>2.1823333333333332</v>
      </c>
      <c r="F133" s="1">
        <v>0.7583333333333333</v>
      </c>
      <c r="G133" s="15">
        <v>1.6946666666666665</v>
      </c>
    </row>
    <row r="134" spans="1:7" x14ac:dyDescent="0.35">
      <c r="A134" s="22">
        <v>22282</v>
      </c>
      <c r="B134" s="1">
        <v>24.361999999999998</v>
      </c>
      <c r="C134" s="1">
        <v>0.19166666666666665</v>
      </c>
      <c r="D134" s="1">
        <v>4.3856666666666664</v>
      </c>
      <c r="E134" s="1">
        <v>1.7936666666666667</v>
      </c>
      <c r="F134" s="1">
        <v>0.88400000000000001</v>
      </c>
      <c r="G134" s="15">
        <v>1.9123333333333334</v>
      </c>
    </row>
    <row r="135" spans="1:7" x14ac:dyDescent="0.35">
      <c r="A135" s="22">
        <v>22313</v>
      </c>
      <c r="B135" s="1">
        <v>17.084</v>
      </c>
      <c r="C135" s="1">
        <v>0.11499999999999999</v>
      </c>
      <c r="D135" s="1">
        <v>4.6000000000000005</v>
      </c>
      <c r="E135" s="1">
        <v>1.6963333333333335</v>
      </c>
      <c r="F135" s="1">
        <v>0.80566666666666664</v>
      </c>
      <c r="G135" s="15">
        <v>0.63400000000000001</v>
      </c>
    </row>
    <row r="136" spans="1:7" x14ac:dyDescent="0.35">
      <c r="A136" s="22">
        <v>22341</v>
      </c>
      <c r="B136" s="1">
        <v>13.382333333333333</v>
      </c>
      <c r="C136" s="1">
        <v>6.7999999999999991E-2</v>
      </c>
      <c r="D136" s="1">
        <v>1.7663333333333335</v>
      </c>
      <c r="E136" s="1">
        <v>1.4263333333333332</v>
      </c>
      <c r="F136" s="1">
        <v>0.18266666666666667</v>
      </c>
      <c r="G136" s="15">
        <v>1.9599999999999999E-2</v>
      </c>
    </row>
    <row r="137" spans="1:7" x14ac:dyDescent="0.35">
      <c r="A137" s="22">
        <v>22372</v>
      </c>
      <c r="B137" s="1">
        <v>5.5569999999999995</v>
      </c>
      <c r="C137" s="1">
        <v>4.1000000000000002E-2</v>
      </c>
      <c r="D137" s="1">
        <v>1.3316666666666668</v>
      </c>
      <c r="E137" s="1">
        <v>0.874</v>
      </c>
      <c r="F137" s="1">
        <v>0.22466666666666668</v>
      </c>
      <c r="G137" s="15">
        <v>1.7606666666666666</v>
      </c>
    </row>
    <row r="138" spans="1:7" x14ac:dyDescent="0.35">
      <c r="A138" s="22">
        <v>22402</v>
      </c>
      <c r="B138" s="1">
        <v>8.25</v>
      </c>
      <c r="C138" s="1">
        <v>3.7666666666666668E-2</v>
      </c>
      <c r="D138" s="1">
        <v>1.33</v>
      </c>
      <c r="E138" s="1">
        <v>0.7543333333333333</v>
      </c>
      <c r="F138" s="1">
        <v>0.18999999999999997</v>
      </c>
      <c r="G138" s="15">
        <v>6.3069999999999995</v>
      </c>
    </row>
    <row r="139" spans="1:7" x14ac:dyDescent="0.35">
      <c r="A139" s="22">
        <v>22433</v>
      </c>
      <c r="B139" s="1">
        <v>21.285666666666668</v>
      </c>
      <c r="C139" s="1">
        <v>25.706</v>
      </c>
      <c r="D139" s="1">
        <v>44.516666666666673</v>
      </c>
      <c r="E139" s="1">
        <v>37.959666666666671</v>
      </c>
      <c r="F139" s="1">
        <v>5.2323333333333331</v>
      </c>
      <c r="G139" s="15">
        <v>11.269</v>
      </c>
    </row>
    <row r="140" spans="1:7" x14ac:dyDescent="0.35">
      <c r="A140" s="22">
        <v>22463</v>
      </c>
      <c r="B140" s="1">
        <v>22.734666666666666</v>
      </c>
      <c r="C140" s="1">
        <v>1.0410000000000001</v>
      </c>
      <c r="D140" s="1">
        <v>15.580666666666666</v>
      </c>
      <c r="E140" s="1">
        <v>6.1070000000000002</v>
      </c>
      <c r="F140" s="1">
        <v>2.6886666666666668</v>
      </c>
      <c r="G140" s="15">
        <v>2.37</v>
      </c>
    </row>
    <row r="141" spans="1:7" x14ac:dyDescent="0.35">
      <c r="A141" s="22">
        <v>22494</v>
      </c>
      <c r="B141" s="1">
        <v>27.460666666666668</v>
      </c>
      <c r="C141" s="1">
        <v>0.441</v>
      </c>
      <c r="D141" s="1">
        <v>7.6499999999999995</v>
      </c>
      <c r="E141" s="1">
        <v>4.6023333333333332</v>
      </c>
      <c r="F141" s="1">
        <v>1.1556666666666666</v>
      </c>
      <c r="G141" s="15">
        <v>3.3426666666666667</v>
      </c>
    </row>
    <row r="142" spans="1:7" x14ac:dyDescent="0.35">
      <c r="A142" s="22">
        <v>22525</v>
      </c>
      <c r="B142" s="1">
        <v>18.561666666666667</v>
      </c>
      <c r="C142" s="1">
        <v>0.19866666666666666</v>
      </c>
      <c r="D142" s="1">
        <v>4.9333333333333336</v>
      </c>
      <c r="E142" s="1">
        <v>3.6236666666666668</v>
      </c>
      <c r="F142" s="1">
        <v>0.61399999999999999</v>
      </c>
      <c r="G142" s="15">
        <v>16.074000000000002</v>
      </c>
    </row>
    <row r="143" spans="1:7" x14ac:dyDescent="0.35">
      <c r="A143" s="22">
        <v>22555</v>
      </c>
      <c r="B143" s="1">
        <v>18.665333333333333</v>
      </c>
      <c r="C143" s="1">
        <v>0.41166666666666668</v>
      </c>
      <c r="D143" s="1">
        <v>4.5856666666666666</v>
      </c>
      <c r="E143" s="1">
        <v>3.2546666666666666</v>
      </c>
      <c r="F143" s="1">
        <v>1.0233333333333332</v>
      </c>
      <c r="G143" s="15">
        <v>10.296999999999999</v>
      </c>
    </row>
    <row r="144" spans="1:7" x14ac:dyDescent="0.35">
      <c r="A144" s="22">
        <v>22586</v>
      </c>
      <c r="B144" s="1">
        <v>12.029666666666666</v>
      </c>
      <c r="C144" s="1">
        <v>0.24866666666666667</v>
      </c>
      <c r="D144" s="1">
        <v>3.8176666666666663</v>
      </c>
      <c r="E144" s="1">
        <v>3.1389999999999998</v>
      </c>
      <c r="F144" s="1">
        <v>1.583</v>
      </c>
      <c r="G144" s="15">
        <v>1.7846666666666666</v>
      </c>
    </row>
    <row r="145" spans="1:7" x14ac:dyDescent="0.35">
      <c r="A145" s="22">
        <v>22616</v>
      </c>
      <c r="B145" s="1">
        <v>11.445</v>
      </c>
      <c r="C145" s="1">
        <v>0.29433333333333334</v>
      </c>
      <c r="D145" s="1">
        <v>2.7293333333333334</v>
      </c>
      <c r="E145" s="1">
        <v>2.5843333333333334</v>
      </c>
      <c r="F145" s="1">
        <v>0.69666666666666666</v>
      </c>
      <c r="G145" s="15">
        <v>0.72533333333333339</v>
      </c>
    </row>
    <row r="146" spans="1:7" x14ac:dyDescent="0.35">
      <c r="A146" s="22">
        <v>22647</v>
      </c>
      <c r="B146" s="1">
        <v>11.163333333333334</v>
      </c>
      <c r="C146" s="1">
        <v>0.22066666666666668</v>
      </c>
      <c r="D146" s="1">
        <v>2.2236666666666669</v>
      </c>
      <c r="E146" s="1">
        <v>0.92733333333333334</v>
      </c>
      <c r="F146" s="1">
        <v>0.52866666666666673</v>
      </c>
      <c r="G146" s="15">
        <v>0.156</v>
      </c>
    </row>
    <row r="147" spans="1:7" x14ac:dyDescent="0.35">
      <c r="A147" s="22">
        <v>22678</v>
      </c>
      <c r="B147" s="1">
        <v>8.44</v>
      </c>
      <c r="C147" s="1">
        <v>0.20866666666666667</v>
      </c>
      <c r="D147" s="1">
        <v>1.6606666666666667</v>
      </c>
      <c r="E147" s="1">
        <v>0.48633333333333334</v>
      </c>
      <c r="F147" s="1">
        <v>0.41399999999999998</v>
      </c>
      <c r="G147" s="15">
        <v>1.0066666666666666E-2</v>
      </c>
    </row>
    <row r="148" spans="1:7" x14ac:dyDescent="0.35">
      <c r="A148" s="22">
        <v>22706</v>
      </c>
      <c r="B148" s="1">
        <v>8.2439999999999998</v>
      </c>
      <c r="C148" s="1">
        <v>0.17466666666666666</v>
      </c>
      <c r="D148" s="1">
        <v>1.4690000000000001</v>
      </c>
      <c r="E148" s="1">
        <v>0.36600000000000005</v>
      </c>
      <c r="F148" s="1">
        <v>0.311</v>
      </c>
      <c r="G148" s="15">
        <v>0</v>
      </c>
    </row>
    <row r="149" spans="1:7" x14ac:dyDescent="0.35">
      <c r="A149" s="22">
        <v>22737</v>
      </c>
      <c r="B149" s="1">
        <v>3.8930000000000002</v>
      </c>
      <c r="C149" s="1">
        <v>0.26666666666666666</v>
      </c>
      <c r="D149" s="1">
        <v>2.5736666666666665</v>
      </c>
      <c r="E149" s="1">
        <v>1.7466666666666668</v>
      </c>
      <c r="F149" s="1">
        <v>0.57033333333333336</v>
      </c>
      <c r="G149" s="15">
        <v>1.3456666666666666</v>
      </c>
    </row>
    <row r="150" spans="1:7" x14ac:dyDescent="0.35">
      <c r="A150" s="22">
        <v>22767</v>
      </c>
      <c r="B150" s="1">
        <v>3.7279999999999998</v>
      </c>
      <c r="C150" s="1">
        <v>0.13566666666666666</v>
      </c>
      <c r="D150" s="1">
        <v>1.7030000000000001</v>
      </c>
      <c r="E150" s="1">
        <v>1.7523333333333333</v>
      </c>
      <c r="F150" s="1">
        <v>0.66466666666666663</v>
      </c>
      <c r="G150" s="15">
        <v>0.124</v>
      </c>
    </row>
    <row r="151" spans="1:7" x14ac:dyDescent="0.35">
      <c r="A151" s="22">
        <v>22798</v>
      </c>
      <c r="B151" s="1">
        <v>7.5609999999999999</v>
      </c>
      <c r="C151" s="1">
        <v>0.13966666666666666</v>
      </c>
      <c r="D151" s="1">
        <v>1.663</v>
      </c>
      <c r="E151" s="1">
        <v>0.70800000000000007</v>
      </c>
      <c r="F151" s="1">
        <v>0.35733333333333334</v>
      </c>
      <c r="G151" s="15">
        <v>2.7496666666666667</v>
      </c>
    </row>
    <row r="152" spans="1:7" x14ac:dyDescent="0.35">
      <c r="A152" s="22">
        <v>22828</v>
      </c>
      <c r="B152" s="1">
        <v>25.315333333333331</v>
      </c>
      <c r="C152" s="1">
        <v>5.0999999999999997E-2</v>
      </c>
      <c r="D152" s="1">
        <v>0.69266666666666665</v>
      </c>
      <c r="E152" s="1">
        <v>0.24399999999999999</v>
      </c>
      <c r="F152" s="1">
        <v>9.0333333333333335E-2</v>
      </c>
      <c r="G152" s="15">
        <v>0</v>
      </c>
    </row>
    <row r="153" spans="1:7" x14ac:dyDescent="0.35">
      <c r="A153" s="22">
        <v>22859</v>
      </c>
      <c r="B153" s="1">
        <v>6.6183333333333332</v>
      </c>
      <c r="C153" s="1">
        <v>3.7666666666666668E-2</v>
      </c>
      <c r="D153" s="1">
        <v>0.62033333333333329</v>
      </c>
      <c r="E153" s="1">
        <v>9.3333333333333338E-2</v>
      </c>
      <c r="F153" s="1">
        <v>6.8666666666666668E-2</v>
      </c>
      <c r="G153" s="15">
        <v>0.66800000000000004</v>
      </c>
    </row>
    <row r="154" spans="1:7" x14ac:dyDescent="0.35">
      <c r="A154" s="22">
        <v>22890</v>
      </c>
      <c r="B154" s="1">
        <v>42.116999999999997</v>
      </c>
      <c r="C154" s="1">
        <v>0.27633333333333332</v>
      </c>
      <c r="D154" s="1">
        <v>1.3789999999999998</v>
      </c>
      <c r="E154" s="1">
        <v>0</v>
      </c>
      <c r="F154" s="1">
        <v>9.2666666666666675E-2</v>
      </c>
      <c r="G154" s="15">
        <v>18.089333333333332</v>
      </c>
    </row>
    <row r="155" spans="1:7" x14ac:dyDescent="0.35">
      <c r="A155" s="22">
        <v>22920</v>
      </c>
      <c r="B155" s="1">
        <v>27.745999999999999</v>
      </c>
      <c r="C155" s="1">
        <v>0.22966666666666666</v>
      </c>
      <c r="D155" s="1">
        <v>5.3626666666666667</v>
      </c>
      <c r="E155" s="1">
        <v>0</v>
      </c>
      <c r="F155" s="1">
        <v>7.8E-2</v>
      </c>
      <c r="G155" s="15">
        <v>1.6436666666666666</v>
      </c>
    </row>
    <row r="156" spans="1:7" x14ac:dyDescent="0.35">
      <c r="A156" s="22">
        <v>22951</v>
      </c>
      <c r="B156" s="1">
        <v>13.325666666666665</v>
      </c>
      <c r="C156" s="1">
        <v>9.5666666666666664E-2</v>
      </c>
      <c r="D156" s="1">
        <v>3.0143333333333331</v>
      </c>
      <c r="E156" s="1">
        <v>4.7666666666666663E-2</v>
      </c>
      <c r="F156" s="1">
        <v>6.5000000000000002E-2</v>
      </c>
      <c r="G156" s="15">
        <v>0.58933333333333338</v>
      </c>
    </row>
    <row r="157" spans="1:7" x14ac:dyDescent="0.35">
      <c r="A157" s="22">
        <v>22981</v>
      </c>
      <c r="B157" s="1">
        <v>13.593666666666666</v>
      </c>
      <c r="C157" s="1">
        <v>9.0333333333333335E-2</v>
      </c>
      <c r="D157" s="1">
        <v>2.2686666666666668</v>
      </c>
      <c r="E157" s="1">
        <v>0</v>
      </c>
      <c r="F157" s="1">
        <v>7.6333333333333336E-2</v>
      </c>
      <c r="G157" s="15">
        <v>3.2833333333333332E-2</v>
      </c>
    </row>
    <row r="158" spans="1:7" x14ac:dyDescent="0.35">
      <c r="A158" s="22">
        <v>23012</v>
      </c>
      <c r="B158" s="1">
        <v>11.657333333333334</v>
      </c>
      <c r="C158" s="1">
        <v>9.0000000000000011E-2</v>
      </c>
      <c r="D158" s="1">
        <v>1.5919999999999999</v>
      </c>
      <c r="E158" s="1">
        <v>0</v>
      </c>
      <c r="F158" s="1">
        <v>8.533333333333333E-2</v>
      </c>
      <c r="G158" s="15">
        <v>9.1666666666666674E-2</v>
      </c>
    </row>
    <row r="159" spans="1:7" x14ac:dyDescent="0.35">
      <c r="A159" s="22">
        <v>23043</v>
      </c>
      <c r="B159" s="1">
        <v>7.7369999999999992</v>
      </c>
      <c r="C159" s="1">
        <v>9.4666666666666663E-2</v>
      </c>
      <c r="D159" s="1">
        <v>1.2849999999999999</v>
      </c>
      <c r="E159" s="1">
        <v>4.5999999999999999E-3</v>
      </c>
      <c r="F159" s="1">
        <v>0.123</v>
      </c>
      <c r="G159" s="15">
        <v>4.0333333333333332E-3</v>
      </c>
    </row>
    <row r="160" spans="1:7" x14ac:dyDescent="0.35">
      <c r="A160" s="22">
        <v>23071</v>
      </c>
      <c r="B160" s="1">
        <v>6.2759999999999998</v>
      </c>
      <c r="C160" s="1">
        <v>0.109</v>
      </c>
      <c r="D160" s="1">
        <v>0.89200000000000002</v>
      </c>
      <c r="E160" s="1">
        <v>0</v>
      </c>
      <c r="F160" s="1">
        <v>0.10366666666666667</v>
      </c>
      <c r="G160" s="15">
        <v>0</v>
      </c>
    </row>
    <row r="161" spans="1:7" x14ac:dyDescent="0.35">
      <c r="A161" s="22">
        <v>23102</v>
      </c>
      <c r="B161" s="1">
        <v>4.407</v>
      </c>
      <c r="C161" s="1">
        <v>9.4333333333333325E-2</v>
      </c>
      <c r="D161" s="1">
        <v>2.1229999999999998</v>
      </c>
      <c r="E161" s="1">
        <v>0.16533333333333333</v>
      </c>
      <c r="F161" s="1">
        <v>0.7406666666666667</v>
      </c>
      <c r="G161" s="15">
        <v>0.61166666666666669</v>
      </c>
    </row>
    <row r="162" spans="1:7" x14ac:dyDescent="0.35">
      <c r="A162" s="22">
        <v>23132</v>
      </c>
      <c r="B162" s="1">
        <v>7.9673333333333334</v>
      </c>
      <c r="C162" s="1">
        <v>0.42966666666666664</v>
      </c>
      <c r="D162" s="1">
        <v>1.8866666666666667</v>
      </c>
      <c r="E162" s="1">
        <v>0.53766666666666663</v>
      </c>
      <c r="F162" s="1">
        <v>0.22766666666666668</v>
      </c>
      <c r="G162" s="15">
        <v>9.5789999999999988</v>
      </c>
    </row>
    <row r="163" spans="1:7" x14ac:dyDescent="0.35">
      <c r="A163" s="22">
        <v>23163</v>
      </c>
      <c r="B163" s="1">
        <v>11.598333333333334</v>
      </c>
      <c r="C163" s="1">
        <v>0.36333333333333334</v>
      </c>
      <c r="D163" s="1">
        <v>0.85799999999999998</v>
      </c>
      <c r="E163" s="1">
        <v>0.32700000000000001</v>
      </c>
      <c r="F163" s="1">
        <v>9.0666666666666673E-2</v>
      </c>
      <c r="G163" s="15">
        <v>9.8179999999999996</v>
      </c>
    </row>
    <row r="164" spans="1:7" x14ac:dyDescent="0.35">
      <c r="A164" s="22">
        <v>23193</v>
      </c>
      <c r="B164" s="1">
        <v>21.779</v>
      </c>
      <c r="C164" s="1">
        <v>5.3666666666666668E-2</v>
      </c>
      <c r="D164" s="1">
        <v>0.65266666666666662</v>
      </c>
      <c r="E164" s="1">
        <v>0</v>
      </c>
      <c r="F164" s="1">
        <v>9.6333333333333326E-2</v>
      </c>
      <c r="G164" s="15">
        <v>3.7456666666666667</v>
      </c>
    </row>
    <row r="165" spans="1:7" x14ac:dyDescent="0.35">
      <c r="A165" s="22">
        <v>23224</v>
      </c>
      <c r="B165" s="1">
        <v>25.918666666666667</v>
      </c>
      <c r="C165" s="1">
        <v>3.6333333333333336E-2</v>
      </c>
      <c r="D165" s="1">
        <v>0.52400000000000002</v>
      </c>
      <c r="E165" s="1">
        <v>0</v>
      </c>
      <c r="F165" s="1">
        <v>4.2000000000000003E-2</v>
      </c>
      <c r="G165" s="15">
        <v>0</v>
      </c>
    </row>
    <row r="166" spans="1:7" x14ac:dyDescent="0.35">
      <c r="A166" s="22">
        <v>23255</v>
      </c>
      <c r="B166" s="1">
        <v>32.719666666666669</v>
      </c>
      <c r="C166" s="1">
        <v>6.0333333333333329E-2</v>
      </c>
      <c r="D166" s="1">
        <v>0.48633333333333334</v>
      </c>
      <c r="E166" s="1">
        <v>0</v>
      </c>
      <c r="F166" s="1">
        <v>0.12166666666666666</v>
      </c>
      <c r="G166" s="15">
        <v>26.734999999999999</v>
      </c>
    </row>
    <row r="167" spans="1:7" x14ac:dyDescent="0.35">
      <c r="A167" s="22">
        <v>23285</v>
      </c>
      <c r="B167" s="1">
        <v>13.060666666666668</v>
      </c>
      <c r="C167" s="1">
        <v>4.7333333333333331E-2</v>
      </c>
      <c r="D167" s="1">
        <v>0.69799999999999995</v>
      </c>
      <c r="E167" s="1">
        <v>0.48599999999999999</v>
      </c>
      <c r="F167" s="1">
        <v>4.6000000000000005</v>
      </c>
      <c r="G167" s="15">
        <v>8.1129999999999995</v>
      </c>
    </row>
    <row r="168" spans="1:7" x14ac:dyDescent="0.35">
      <c r="A168" s="22">
        <v>23316</v>
      </c>
      <c r="B168" s="1">
        <v>12.562666666666667</v>
      </c>
      <c r="C168" s="1">
        <v>2.0433333333333335E-2</v>
      </c>
      <c r="D168" s="1">
        <v>0.67200000000000004</v>
      </c>
      <c r="E168" s="1">
        <v>3.4666666666666665E-2</v>
      </c>
      <c r="F168" s="1">
        <v>0.28133333333333332</v>
      </c>
      <c r="G168" s="15">
        <v>0.90800000000000003</v>
      </c>
    </row>
    <row r="169" spans="1:7" x14ac:dyDescent="0.35">
      <c r="A169" s="22">
        <v>23346</v>
      </c>
      <c r="B169" s="1">
        <v>9.8666666666666671</v>
      </c>
      <c r="C169" s="1">
        <v>1.6133333333333333E-2</v>
      </c>
      <c r="D169" s="1">
        <v>0.96433333333333326</v>
      </c>
      <c r="E169" s="1">
        <v>2.7633333333333333E-2</v>
      </c>
      <c r="F169" s="1">
        <v>0.20133333333333334</v>
      </c>
      <c r="G169" s="15">
        <v>3.3133333333333334E-2</v>
      </c>
    </row>
    <row r="170" spans="1:7" x14ac:dyDescent="0.35">
      <c r="A170" s="22">
        <v>23377</v>
      </c>
      <c r="B170" s="1">
        <v>8.3443333333333332</v>
      </c>
      <c r="C170" s="1">
        <v>1.9599999999999999E-2</v>
      </c>
      <c r="D170" s="1">
        <v>0.96799999999999997</v>
      </c>
      <c r="E170" s="1">
        <v>3.4666666666666665E-3</v>
      </c>
      <c r="F170" s="1">
        <v>9.4999999999999987E-2</v>
      </c>
      <c r="G170" s="15">
        <v>6.3333333333333332E-3</v>
      </c>
    </row>
    <row r="171" spans="1:7" x14ac:dyDescent="0.35">
      <c r="A171" s="22">
        <v>23408</v>
      </c>
      <c r="B171" s="1">
        <v>9.7206666666666663</v>
      </c>
      <c r="C171" s="1">
        <v>1.6400000000000001E-2</v>
      </c>
      <c r="D171" s="1">
        <v>0.97833333333333339</v>
      </c>
      <c r="E171" s="1">
        <v>0</v>
      </c>
      <c r="F171" s="1">
        <v>7.9333333333333325E-2</v>
      </c>
      <c r="G171" s="15">
        <v>0</v>
      </c>
    </row>
    <row r="172" spans="1:7" x14ac:dyDescent="0.35">
      <c r="A172" s="22">
        <v>23437</v>
      </c>
      <c r="B172" s="1">
        <v>10.181333333333333</v>
      </c>
      <c r="C172" s="1">
        <v>2.4199999999999999E-2</v>
      </c>
      <c r="D172" s="1">
        <v>1.0626666666666666</v>
      </c>
      <c r="E172" s="1">
        <v>7.2000000000000007E-3</v>
      </c>
      <c r="F172" s="1">
        <v>0.16700000000000001</v>
      </c>
      <c r="G172" s="15">
        <v>0</v>
      </c>
    </row>
    <row r="173" spans="1:7" x14ac:dyDescent="0.35">
      <c r="A173" s="22">
        <v>23468</v>
      </c>
      <c r="B173" s="1">
        <v>4.8029999999999999</v>
      </c>
      <c r="C173" s="1">
        <v>0.30733333333333335</v>
      </c>
      <c r="D173" s="1">
        <v>0.94600000000000006</v>
      </c>
      <c r="E173" s="1">
        <v>0.114</v>
      </c>
      <c r="F173" s="1">
        <v>7.4666666666666673E-2</v>
      </c>
      <c r="G173" s="15">
        <v>0</v>
      </c>
    </row>
    <row r="174" spans="1:7" x14ac:dyDescent="0.35">
      <c r="A174" s="22">
        <v>23498</v>
      </c>
      <c r="B174" s="1">
        <v>7.1586666666666661</v>
      </c>
      <c r="C174" s="1">
        <v>0.55799999999999994</v>
      </c>
      <c r="D174" s="1">
        <v>1.6846666666666668</v>
      </c>
      <c r="E174" s="1">
        <v>0.46566666666666667</v>
      </c>
      <c r="F174" s="1">
        <v>0.36966666666666664</v>
      </c>
      <c r="G174" s="15">
        <v>4.6623333333333337</v>
      </c>
    </row>
    <row r="175" spans="1:7" x14ac:dyDescent="0.35">
      <c r="A175" s="22">
        <v>23529</v>
      </c>
      <c r="B175" s="1">
        <v>26.40433333333333</v>
      </c>
      <c r="C175" s="1">
        <v>2.9966666666666666E-2</v>
      </c>
      <c r="D175" s="1">
        <v>0.81366666666666665</v>
      </c>
      <c r="E175" s="1">
        <v>6.8999999999999992E-2</v>
      </c>
      <c r="F175" s="1">
        <v>6.0666666666666667E-2</v>
      </c>
      <c r="G175" s="15">
        <v>4.6640000000000006</v>
      </c>
    </row>
    <row r="176" spans="1:7" x14ac:dyDescent="0.35">
      <c r="A176" s="22">
        <v>23559</v>
      </c>
      <c r="B176" s="1">
        <v>10.294</v>
      </c>
      <c r="C176" s="1">
        <v>4.6999999999999993E-2</v>
      </c>
      <c r="D176" s="1">
        <v>0.43566666666666665</v>
      </c>
      <c r="E176" s="1">
        <v>5.1999999999999998E-2</v>
      </c>
      <c r="F176" s="1">
        <v>5.6333333333333339E-2</v>
      </c>
      <c r="G176" s="15">
        <v>0.67533333333333323</v>
      </c>
    </row>
    <row r="177" spans="1:7" x14ac:dyDescent="0.35">
      <c r="A177" s="22">
        <v>23590</v>
      </c>
      <c r="B177" s="1">
        <v>14.339666666666666</v>
      </c>
      <c r="C177" s="1">
        <v>0.35166666666666663</v>
      </c>
      <c r="D177" s="1">
        <v>0.88300000000000001</v>
      </c>
      <c r="E177" s="1">
        <v>0</v>
      </c>
      <c r="F177" s="1">
        <v>0.12366666666666666</v>
      </c>
      <c r="G177" s="15">
        <v>12.321333333333333</v>
      </c>
    </row>
    <row r="178" spans="1:7" x14ac:dyDescent="0.35">
      <c r="A178" s="22">
        <v>23621</v>
      </c>
      <c r="B178" s="1">
        <v>19.215333333333334</v>
      </c>
      <c r="C178" s="1">
        <v>20.379666666666669</v>
      </c>
      <c r="D178" s="1">
        <v>38.923333333333332</v>
      </c>
      <c r="E178" s="1">
        <v>17.410999999999998</v>
      </c>
      <c r="F178" s="1">
        <v>20.221666666666668</v>
      </c>
      <c r="G178" s="15">
        <v>14.795999999999999</v>
      </c>
    </row>
    <row r="179" spans="1:7" x14ac:dyDescent="0.35">
      <c r="A179" s="22">
        <v>23651</v>
      </c>
      <c r="B179" s="1">
        <v>14.051333333333334</v>
      </c>
      <c r="C179" s="1">
        <v>0.84566666666666668</v>
      </c>
      <c r="D179" s="1">
        <v>20.321333333333332</v>
      </c>
      <c r="E179" s="1">
        <v>4.7030000000000003</v>
      </c>
      <c r="F179" s="1">
        <v>0.96200000000000008</v>
      </c>
      <c r="G179" s="15">
        <v>19.431333333333331</v>
      </c>
    </row>
    <row r="180" spans="1:7" x14ac:dyDescent="0.35">
      <c r="A180" s="22">
        <v>23682</v>
      </c>
      <c r="B180" s="1">
        <v>11.893333333333333</v>
      </c>
      <c r="C180" s="1">
        <v>0.32066666666666666</v>
      </c>
      <c r="D180" s="1">
        <v>8.6536666666666662</v>
      </c>
      <c r="E180" s="1">
        <v>2.5273333333333334</v>
      </c>
      <c r="F180" s="1">
        <v>0.72499999999999998</v>
      </c>
      <c r="G180" s="15">
        <v>0.25633333333333336</v>
      </c>
    </row>
    <row r="181" spans="1:7" x14ac:dyDescent="0.35">
      <c r="A181" s="22">
        <v>23712</v>
      </c>
      <c r="B181" s="1">
        <v>12.012333333333332</v>
      </c>
      <c r="C181" s="1">
        <v>0.29466666666666669</v>
      </c>
      <c r="D181" s="1">
        <v>4.4249999999999998</v>
      </c>
      <c r="E181" s="1">
        <v>1.7553333333333334</v>
      </c>
      <c r="F181" s="1">
        <v>0.3106666666666667</v>
      </c>
      <c r="G181" s="15">
        <v>0</v>
      </c>
    </row>
    <row r="182" spans="1:7" x14ac:dyDescent="0.35">
      <c r="A182" s="22">
        <v>23743</v>
      </c>
      <c r="B182" s="1">
        <v>12.415666666666667</v>
      </c>
      <c r="C182" s="1">
        <v>0.30299999999999999</v>
      </c>
      <c r="D182" s="1">
        <v>4.4290000000000003</v>
      </c>
      <c r="E182" s="1">
        <v>0.86699999999999999</v>
      </c>
      <c r="F182" s="1">
        <v>0.37166666666666665</v>
      </c>
      <c r="G182" s="15">
        <v>0</v>
      </c>
    </row>
    <row r="183" spans="1:7" x14ac:dyDescent="0.35">
      <c r="A183" s="22">
        <v>23774</v>
      </c>
      <c r="B183" s="1">
        <v>13.034999999999998</v>
      </c>
      <c r="C183" s="1">
        <v>0.29333333333333333</v>
      </c>
      <c r="D183" s="1">
        <v>2.4319999999999999</v>
      </c>
      <c r="E183" s="1">
        <v>0.47233333333333333</v>
      </c>
      <c r="F183" s="1">
        <v>0.28466666666666668</v>
      </c>
      <c r="G183" s="15">
        <v>0</v>
      </c>
    </row>
    <row r="184" spans="1:7" x14ac:dyDescent="0.35">
      <c r="A184" s="22">
        <v>23802</v>
      </c>
      <c r="B184" s="1">
        <v>10.348333333333334</v>
      </c>
      <c r="C184" s="1">
        <v>0.20166666666666666</v>
      </c>
      <c r="D184" s="1">
        <v>2.0733333333333333</v>
      </c>
      <c r="E184" s="1">
        <v>0.45</v>
      </c>
      <c r="F184" s="1">
        <v>0.17600000000000002</v>
      </c>
      <c r="G184" s="15">
        <v>9.3000000000000013E-2</v>
      </c>
    </row>
    <row r="185" spans="1:7" x14ac:dyDescent="0.35">
      <c r="A185" s="22">
        <v>23833</v>
      </c>
      <c r="B185" s="1">
        <v>4.9973333333333336</v>
      </c>
      <c r="C185" s="1">
        <v>0.215</v>
      </c>
      <c r="D185" s="1">
        <v>1.8586666666666665</v>
      </c>
      <c r="E185" s="1">
        <v>0.42899999999999999</v>
      </c>
      <c r="F185" s="1">
        <v>0.35566666666666663</v>
      </c>
      <c r="G185" s="15">
        <v>1.0896666666666668</v>
      </c>
    </row>
    <row r="186" spans="1:7" x14ac:dyDescent="0.35">
      <c r="A186" s="22">
        <v>23863</v>
      </c>
      <c r="B186" s="1">
        <v>5.3813333333333331</v>
      </c>
      <c r="C186" s="1">
        <v>0.53033333333333332</v>
      </c>
      <c r="D186" s="1">
        <v>1.9873333333333332</v>
      </c>
      <c r="E186" s="1">
        <v>1.986</v>
      </c>
      <c r="F186" s="1">
        <v>1.37</v>
      </c>
      <c r="G186" s="15">
        <v>24.934000000000001</v>
      </c>
    </row>
    <row r="187" spans="1:7" x14ac:dyDescent="0.35">
      <c r="A187" s="22">
        <v>23894</v>
      </c>
      <c r="B187" s="1">
        <v>8.9653333333333336</v>
      </c>
      <c r="C187" s="1">
        <v>0.69233333333333336</v>
      </c>
      <c r="D187" s="1">
        <v>2.1480000000000001</v>
      </c>
      <c r="E187" s="1">
        <v>0.33266666666666667</v>
      </c>
      <c r="F187" s="1">
        <v>0.21533333333333335</v>
      </c>
      <c r="G187" s="15">
        <v>9.7636666666666674</v>
      </c>
    </row>
    <row r="188" spans="1:7" x14ac:dyDescent="0.35">
      <c r="A188" s="22">
        <v>23924</v>
      </c>
      <c r="B188" s="1">
        <v>5.237333333333333</v>
      </c>
      <c r="C188" s="1">
        <v>7.9000000000000001E-2</v>
      </c>
      <c r="D188" s="1">
        <v>0.98466666666666669</v>
      </c>
      <c r="E188" s="1">
        <v>0.12266666666666666</v>
      </c>
      <c r="F188" s="1">
        <v>0.31466666666666665</v>
      </c>
      <c r="G188" s="15">
        <v>1.3533333333333333E-2</v>
      </c>
    </row>
    <row r="189" spans="1:7" x14ac:dyDescent="0.35">
      <c r="A189" s="22">
        <v>23955</v>
      </c>
      <c r="B189" s="1">
        <v>18.522666666666666</v>
      </c>
      <c r="C189" s="1">
        <v>0.47433333333333333</v>
      </c>
      <c r="D189" s="1">
        <v>1.1953333333333334</v>
      </c>
      <c r="E189" s="1">
        <v>0.8696666666666667</v>
      </c>
      <c r="F189" s="1">
        <v>6.0333333333333329E-2</v>
      </c>
      <c r="G189" s="15">
        <v>1.9530000000000001</v>
      </c>
    </row>
    <row r="190" spans="1:7" x14ac:dyDescent="0.35">
      <c r="A190" s="22">
        <v>23986</v>
      </c>
      <c r="B190" s="1">
        <v>26.846</v>
      </c>
      <c r="C190" s="1">
        <v>4.6999999999999993E-2</v>
      </c>
      <c r="D190" s="1">
        <v>1.0376666666666667</v>
      </c>
      <c r="E190" s="1">
        <v>0</v>
      </c>
      <c r="F190" s="1">
        <v>7.2000000000000007E-3</v>
      </c>
      <c r="G190" s="15">
        <v>6.905666666666666</v>
      </c>
    </row>
    <row r="191" spans="1:7" x14ac:dyDescent="0.35">
      <c r="A191" s="22">
        <v>24016</v>
      </c>
      <c r="B191" s="1">
        <v>12.487666666666668</v>
      </c>
      <c r="C191" s="1">
        <v>3.6666666666666667E-2</v>
      </c>
      <c r="D191" s="1">
        <v>1.492</v>
      </c>
      <c r="E191" s="1">
        <v>0</v>
      </c>
      <c r="F191" s="1">
        <v>0.10433333333333333</v>
      </c>
      <c r="G191" s="15">
        <v>1.8783333333333332</v>
      </c>
    </row>
    <row r="192" spans="1:7" x14ac:dyDescent="0.35">
      <c r="A192" s="22">
        <v>24047</v>
      </c>
      <c r="B192" s="1">
        <v>14.788666666666666</v>
      </c>
      <c r="C192" s="1">
        <v>8.2000000000000003E-2</v>
      </c>
      <c r="D192" s="1">
        <v>1.7503333333333335</v>
      </c>
      <c r="E192" s="1">
        <v>0</v>
      </c>
      <c r="F192" s="1">
        <v>5.3666666666666668E-2</v>
      </c>
      <c r="G192" s="15">
        <v>2.8316666666666666</v>
      </c>
    </row>
    <row r="193" spans="1:7" x14ac:dyDescent="0.35">
      <c r="A193" s="22">
        <v>24077</v>
      </c>
      <c r="B193" s="1">
        <v>10.729333333333335</v>
      </c>
      <c r="C193" s="1">
        <v>7.8666666666666663E-2</v>
      </c>
      <c r="D193" s="1">
        <v>1.6143333333333334</v>
      </c>
      <c r="E193" s="1">
        <v>0</v>
      </c>
      <c r="F193" s="1">
        <v>9.9333333333333329E-2</v>
      </c>
      <c r="G193" s="15">
        <v>1.4390000000000001</v>
      </c>
    </row>
    <row r="194" spans="1:7" x14ac:dyDescent="0.35">
      <c r="A194" s="22">
        <v>24108</v>
      </c>
      <c r="B194" s="1">
        <v>8.6176666666666666</v>
      </c>
      <c r="C194" s="1">
        <v>9.3000000000000013E-2</v>
      </c>
      <c r="D194" s="1">
        <v>1.2583333333333333</v>
      </c>
      <c r="E194" s="1">
        <v>7.5666666666666674E-2</v>
      </c>
      <c r="F194" s="1">
        <v>0.20666666666666667</v>
      </c>
      <c r="G194" s="15">
        <v>0.41666666666666669</v>
      </c>
    </row>
    <row r="195" spans="1:7" x14ac:dyDescent="0.35">
      <c r="A195" s="22">
        <v>24139</v>
      </c>
      <c r="B195" s="1">
        <v>7.508</v>
      </c>
      <c r="C195" s="1">
        <v>7.6999999999999999E-2</v>
      </c>
      <c r="D195" s="1">
        <v>1.1646666666666667</v>
      </c>
      <c r="E195" s="1">
        <v>0.109</v>
      </c>
      <c r="F195" s="1">
        <v>0.23233333333333331</v>
      </c>
      <c r="G195" s="15">
        <v>0.41933333333333334</v>
      </c>
    </row>
    <row r="196" spans="1:7" x14ac:dyDescent="0.35">
      <c r="A196" s="22">
        <v>24167</v>
      </c>
      <c r="B196" s="1">
        <v>5.0469999999999997</v>
      </c>
      <c r="C196" s="1">
        <v>9.9999999999999992E-2</v>
      </c>
      <c r="D196" s="1">
        <v>1.194</v>
      </c>
      <c r="E196" s="1">
        <v>0.15366666666666667</v>
      </c>
      <c r="F196" s="1">
        <v>1.4686666666666666</v>
      </c>
      <c r="G196" s="15">
        <v>6.2E-2</v>
      </c>
    </row>
    <row r="197" spans="1:7" x14ac:dyDescent="0.35">
      <c r="A197" s="22">
        <v>24198</v>
      </c>
      <c r="B197" s="1">
        <v>2.6716666666666669</v>
      </c>
      <c r="C197" s="1">
        <v>1.5356666666666667</v>
      </c>
      <c r="D197" s="1">
        <v>3.3209999999999997</v>
      </c>
      <c r="E197" s="1">
        <v>0.92866666666666664</v>
      </c>
      <c r="F197" s="1">
        <v>0.22233333333333336</v>
      </c>
      <c r="G197" s="15">
        <v>6.9363333333333337</v>
      </c>
    </row>
    <row r="198" spans="1:7" x14ac:dyDescent="0.35">
      <c r="A198" s="22">
        <v>24228</v>
      </c>
      <c r="B198" s="1">
        <v>6.149</v>
      </c>
      <c r="C198" s="1">
        <v>0.124</v>
      </c>
      <c r="D198" s="1">
        <v>1.9973333333333334</v>
      </c>
      <c r="E198" s="1">
        <v>1.7983333333333331</v>
      </c>
      <c r="F198" s="1">
        <v>2.4830000000000001</v>
      </c>
      <c r="G198" s="15">
        <v>41.494</v>
      </c>
    </row>
    <row r="199" spans="1:7" x14ac:dyDescent="0.35">
      <c r="A199" s="22">
        <v>24259</v>
      </c>
      <c r="B199" s="1">
        <v>21.743333333333336</v>
      </c>
      <c r="C199" s="1">
        <v>0.18433333333333335</v>
      </c>
      <c r="D199" s="1">
        <v>1.5836666666666668</v>
      </c>
      <c r="E199" s="1">
        <v>0.44933333333333336</v>
      </c>
      <c r="F199" s="1">
        <v>0.18666666666666668</v>
      </c>
      <c r="G199" s="15">
        <v>2.7686666666666664</v>
      </c>
    </row>
    <row r="200" spans="1:7" x14ac:dyDescent="0.35">
      <c r="A200" s="22">
        <v>24289</v>
      </c>
      <c r="B200" s="1">
        <v>16.831666666666667</v>
      </c>
      <c r="C200" s="1">
        <v>3.9666666666666663E-2</v>
      </c>
      <c r="D200" s="1">
        <v>0.83233333333333326</v>
      </c>
      <c r="E200" s="1">
        <v>0.108</v>
      </c>
      <c r="F200" s="1">
        <v>8.4000000000000005E-2</v>
      </c>
      <c r="G200" s="15">
        <v>0.52</v>
      </c>
    </row>
    <row r="201" spans="1:7" x14ac:dyDescent="0.35">
      <c r="A201" s="22">
        <v>24320</v>
      </c>
      <c r="B201" s="1">
        <v>113.127</v>
      </c>
      <c r="C201" s="1">
        <v>0.19799999999999998</v>
      </c>
      <c r="D201" s="1">
        <v>0.92666666666666664</v>
      </c>
      <c r="E201" s="1">
        <v>3.1400000000000004E-2</v>
      </c>
      <c r="F201" s="1">
        <v>3.1869999999999998</v>
      </c>
      <c r="G201" s="15">
        <v>2.2386666666666666</v>
      </c>
    </row>
    <row r="202" spans="1:7" x14ac:dyDescent="0.35">
      <c r="A202" s="22">
        <v>24351</v>
      </c>
      <c r="B202" s="1">
        <v>250.04433333333336</v>
      </c>
      <c r="C202" s="1">
        <v>5.2999999999999999E-2</v>
      </c>
      <c r="D202" s="1">
        <v>2.0713333333333335</v>
      </c>
      <c r="E202" s="1">
        <v>0.438</v>
      </c>
      <c r="F202" s="1">
        <v>0.76333333333333331</v>
      </c>
      <c r="G202" s="15">
        <v>9.8130000000000006</v>
      </c>
    </row>
    <row r="203" spans="1:7" x14ac:dyDescent="0.35">
      <c r="A203" s="22">
        <v>24381</v>
      </c>
      <c r="B203" s="1">
        <v>35.173333333333332</v>
      </c>
      <c r="C203" s="1">
        <v>5.7666666666666665E-2</v>
      </c>
      <c r="D203" s="1">
        <v>1.5423333333333333</v>
      </c>
      <c r="E203" s="1">
        <v>0.34400000000000003</v>
      </c>
      <c r="F203" s="1">
        <v>0.38833333333333336</v>
      </c>
      <c r="G203" s="15">
        <v>1.1656666666666666</v>
      </c>
    </row>
    <row r="204" spans="1:7" x14ac:dyDescent="0.35">
      <c r="A204" s="22">
        <v>24412</v>
      </c>
      <c r="B204" s="1">
        <v>16.473666666666666</v>
      </c>
      <c r="C204" s="1">
        <v>3.7999999999999999E-2</v>
      </c>
      <c r="D204" s="1">
        <v>1.4263333333333332</v>
      </c>
      <c r="E204" s="1">
        <v>0.32</v>
      </c>
      <c r="F204" s="1">
        <v>0.11533333333333333</v>
      </c>
      <c r="G204" s="15">
        <v>0.154</v>
      </c>
    </row>
    <row r="205" spans="1:7" x14ac:dyDescent="0.35">
      <c r="A205" s="22">
        <v>24442</v>
      </c>
      <c r="B205" s="1">
        <v>11.842666666666666</v>
      </c>
      <c r="C205" s="1">
        <v>3.6333333333333336E-2</v>
      </c>
      <c r="D205" s="1">
        <v>1.365</v>
      </c>
      <c r="E205" s="1">
        <v>0.25533333333333336</v>
      </c>
      <c r="F205" s="1">
        <v>0.124</v>
      </c>
      <c r="G205" s="15">
        <v>0</v>
      </c>
    </row>
    <row r="206" spans="1:7" x14ac:dyDescent="0.35">
      <c r="A206" s="22">
        <v>24473</v>
      </c>
      <c r="B206" s="1">
        <v>12.501333333333333</v>
      </c>
      <c r="C206" s="1">
        <v>3.7666666666666668E-2</v>
      </c>
      <c r="D206" s="1">
        <v>1.143</v>
      </c>
      <c r="E206" s="1">
        <v>0.18433333333333335</v>
      </c>
      <c r="F206" s="1">
        <v>0.22133333333333335</v>
      </c>
      <c r="G206" s="15">
        <v>8.0333333333333326E-2</v>
      </c>
    </row>
    <row r="207" spans="1:7" x14ac:dyDescent="0.35">
      <c r="A207" s="22">
        <v>24504</v>
      </c>
      <c r="B207" s="1">
        <v>9.3800000000000008</v>
      </c>
      <c r="C207" s="1">
        <v>3.7999999999999999E-2</v>
      </c>
      <c r="D207" s="1">
        <v>1.1180000000000001</v>
      </c>
      <c r="E207" s="1">
        <v>0.14966666666666667</v>
      </c>
      <c r="F207" s="1">
        <v>0.10933333333333334</v>
      </c>
      <c r="G207" s="15">
        <v>0</v>
      </c>
    </row>
    <row r="208" spans="1:7" x14ac:dyDescent="0.35">
      <c r="A208" s="22">
        <v>24532</v>
      </c>
      <c r="B208" s="1">
        <v>9.2810000000000006</v>
      </c>
      <c r="C208" s="1">
        <v>5.4333333333333338E-2</v>
      </c>
      <c r="D208" s="1">
        <v>0.93800000000000006</v>
      </c>
      <c r="E208" s="1">
        <v>0.11333333333333334</v>
      </c>
      <c r="F208" s="1">
        <v>0.105</v>
      </c>
      <c r="G208" s="15">
        <v>4.4333333333333336E-2</v>
      </c>
    </row>
    <row r="209" spans="1:7" x14ac:dyDescent="0.35">
      <c r="A209" s="22">
        <v>24563</v>
      </c>
      <c r="B209" s="1">
        <v>5.1950000000000003</v>
      </c>
      <c r="C209" s="1">
        <v>3.5999999999999997E-2</v>
      </c>
      <c r="D209" s="1">
        <v>1.3559999999999999</v>
      </c>
      <c r="E209" s="1">
        <v>4.9999999999999996E-2</v>
      </c>
      <c r="F209" s="1">
        <v>0.155</v>
      </c>
      <c r="G209" s="15">
        <v>2.3833333333333333</v>
      </c>
    </row>
    <row r="210" spans="1:7" x14ac:dyDescent="0.35">
      <c r="A210" s="22">
        <v>24593</v>
      </c>
      <c r="B210" s="1">
        <v>7.9913333333333334</v>
      </c>
      <c r="C210" s="1">
        <v>0.10366666666666667</v>
      </c>
      <c r="D210" s="1">
        <v>0.91</v>
      </c>
      <c r="E210" s="1">
        <v>6.8999999999999999E-3</v>
      </c>
      <c r="F210" s="1">
        <v>8.4666666666666668E-2</v>
      </c>
      <c r="G210" s="15">
        <v>0.28799999999999998</v>
      </c>
    </row>
    <row r="211" spans="1:7" x14ac:dyDescent="0.35">
      <c r="A211" s="22">
        <v>24624</v>
      </c>
      <c r="B211" s="1">
        <v>25.732666666666663</v>
      </c>
      <c r="C211" s="1">
        <v>2.6499999999999999E-2</v>
      </c>
      <c r="D211" s="1">
        <v>0.85300000000000009</v>
      </c>
      <c r="E211" s="1">
        <v>0</v>
      </c>
      <c r="F211" s="1">
        <v>0.23366666666666666</v>
      </c>
      <c r="G211" s="15">
        <v>3.3306666666666671</v>
      </c>
    </row>
    <row r="212" spans="1:7" x14ac:dyDescent="0.35">
      <c r="A212" s="22">
        <v>24654</v>
      </c>
      <c r="B212" s="1">
        <v>22.262333333333334</v>
      </c>
      <c r="C212" s="1">
        <v>4.1666666666666664E-2</v>
      </c>
      <c r="D212" s="1">
        <v>0.71133333333333326</v>
      </c>
      <c r="E212" s="1">
        <v>0</v>
      </c>
      <c r="F212" s="1">
        <v>2.3599999999999999E-2</v>
      </c>
      <c r="G212" s="15">
        <v>0</v>
      </c>
    </row>
    <row r="213" spans="1:7" x14ac:dyDescent="0.35">
      <c r="A213" s="22">
        <v>24685</v>
      </c>
      <c r="B213" s="1">
        <v>18.739999999999998</v>
      </c>
      <c r="C213" s="1">
        <v>5.0333333333333334E-2</v>
      </c>
      <c r="D213" s="1">
        <v>0.77533333333333332</v>
      </c>
      <c r="E213" s="1">
        <v>1.0666666666666666E-2</v>
      </c>
      <c r="F213" s="1">
        <v>2.1299999999999999E-2</v>
      </c>
      <c r="G213" s="15">
        <v>21.425666666666668</v>
      </c>
    </row>
    <row r="214" spans="1:7" x14ac:dyDescent="0.35">
      <c r="A214" s="22">
        <v>24716</v>
      </c>
      <c r="B214" s="1">
        <v>55.915333333333336</v>
      </c>
      <c r="C214" s="1">
        <v>1.5446666666666669</v>
      </c>
      <c r="D214" s="1">
        <v>7.2673333333333332</v>
      </c>
      <c r="E214" s="1">
        <v>16.559999999999999</v>
      </c>
      <c r="F214" s="1">
        <v>0.13066666666666668</v>
      </c>
      <c r="G214" s="15">
        <v>202.06666666666669</v>
      </c>
    </row>
    <row r="215" spans="1:7" x14ac:dyDescent="0.35">
      <c r="A215" s="22">
        <v>24746</v>
      </c>
      <c r="B215" s="1">
        <v>24.358999999999998</v>
      </c>
      <c r="C215" s="1">
        <v>6.6666666666666666E-2</v>
      </c>
      <c r="D215" s="1">
        <v>6.2530000000000001</v>
      </c>
      <c r="E215" s="1">
        <v>4.0230000000000006</v>
      </c>
      <c r="F215" s="1">
        <v>8.900000000000001E-2</v>
      </c>
      <c r="G215" s="15">
        <v>34.384333333333338</v>
      </c>
    </row>
    <row r="216" spans="1:7" x14ac:dyDescent="0.35">
      <c r="A216" s="22">
        <v>24777</v>
      </c>
      <c r="B216" s="1">
        <v>18.443666666666669</v>
      </c>
      <c r="C216" s="1">
        <v>6.4666666666666664E-2</v>
      </c>
      <c r="D216" s="1">
        <v>4.230666666666667</v>
      </c>
      <c r="E216" s="1">
        <v>2.2116666666666664</v>
      </c>
      <c r="F216" s="1">
        <v>3.5666666666666666E-2</v>
      </c>
      <c r="G216" s="15">
        <v>11.943333333333333</v>
      </c>
    </row>
    <row r="217" spans="1:7" x14ac:dyDescent="0.35">
      <c r="A217" s="22">
        <v>24807</v>
      </c>
      <c r="B217" s="1">
        <v>12.640333333333333</v>
      </c>
      <c r="C217" s="1">
        <v>7.0666666666666669E-2</v>
      </c>
      <c r="D217" s="1">
        <v>2.605</v>
      </c>
      <c r="E217" s="1">
        <v>1.4729999999999999</v>
      </c>
      <c r="F217" s="1">
        <v>5.3999999999999999E-2</v>
      </c>
      <c r="G217" s="15">
        <v>7.1040000000000001</v>
      </c>
    </row>
    <row r="218" spans="1:7" x14ac:dyDescent="0.35">
      <c r="A218" s="22">
        <v>24838</v>
      </c>
      <c r="B218" s="1">
        <v>8.1736666666666675</v>
      </c>
      <c r="C218" s="1">
        <v>7.7333333333333337E-2</v>
      </c>
      <c r="D218" s="1">
        <v>2.2730000000000001</v>
      </c>
      <c r="E218" s="1">
        <v>1.1846666666666665</v>
      </c>
      <c r="F218" s="1">
        <v>0.13533333333333333</v>
      </c>
      <c r="G218" s="15">
        <v>6.1393333333333331</v>
      </c>
    </row>
    <row r="219" spans="1:7" x14ac:dyDescent="0.35">
      <c r="A219" s="22">
        <v>24869</v>
      </c>
      <c r="B219" s="1">
        <v>1.3716666666666668</v>
      </c>
      <c r="C219" s="1">
        <v>7.6333333333333336E-2</v>
      </c>
      <c r="D219" s="1">
        <v>1.9023333333333332</v>
      </c>
      <c r="E219" s="1">
        <v>0.77033333333333331</v>
      </c>
      <c r="F219" s="1">
        <v>0.28966666666666668</v>
      </c>
      <c r="G219" s="15">
        <v>3.9733333333333332</v>
      </c>
    </row>
    <row r="220" spans="1:7" x14ac:dyDescent="0.35">
      <c r="A220" s="22">
        <v>24898</v>
      </c>
      <c r="B220" s="1">
        <v>1.7149999999999999</v>
      </c>
      <c r="C220" s="1">
        <v>0.10266666666666667</v>
      </c>
      <c r="D220" s="1">
        <v>1.9356666666666669</v>
      </c>
      <c r="E220" s="1">
        <v>0.89266666666666661</v>
      </c>
      <c r="F220" s="1">
        <v>0.13933333333333334</v>
      </c>
      <c r="G220" s="15">
        <v>3.8086666666666669</v>
      </c>
    </row>
    <row r="221" spans="1:7" x14ac:dyDescent="0.35">
      <c r="A221" s="22">
        <v>24929</v>
      </c>
      <c r="B221" s="1">
        <v>3.7970000000000002</v>
      </c>
      <c r="C221" s="1">
        <v>0.64166666666666672</v>
      </c>
      <c r="D221" s="1">
        <v>1.2243333333333333</v>
      </c>
      <c r="E221" s="1">
        <v>0.47466666666666663</v>
      </c>
      <c r="F221" s="1">
        <v>8.666666666666667E-2</v>
      </c>
      <c r="G221" s="15">
        <v>4.6176666666666666</v>
      </c>
    </row>
    <row r="222" spans="1:7" x14ac:dyDescent="0.35">
      <c r="A222" s="22">
        <v>24959</v>
      </c>
      <c r="B222" s="1">
        <v>4.4950000000000001</v>
      </c>
      <c r="C222" s="1">
        <v>6.6666666666666666E-2</v>
      </c>
      <c r="D222" s="1">
        <v>2.3163333333333331</v>
      </c>
      <c r="E222" s="1">
        <v>1.7416666666666665</v>
      </c>
      <c r="F222" s="1">
        <v>0.68666666666666665</v>
      </c>
      <c r="G222" s="15">
        <v>3.0863333333333336</v>
      </c>
    </row>
    <row r="223" spans="1:7" x14ac:dyDescent="0.35">
      <c r="A223" s="22">
        <v>24990</v>
      </c>
      <c r="B223" s="1">
        <v>2.470333333333333</v>
      </c>
      <c r="C223" s="1">
        <v>0.11133333333333334</v>
      </c>
      <c r="D223" s="1">
        <v>1.3663333333333334</v>
      </c>
      <c r="E223" s="1">
        <v>0.38700000000000001</v>
      </c>
      <c r="F223" s="1">
        <v>0.111</v>
      </c>
      <c r="G223" s="15">
        <v>3.1543333333333332</v>
      </c>
    </row>
    <row r="224" spans="1:7" x14ac:dyDescent="0.35">
      <c r="A224" s="22">
        <v>25020</v>
      </c>
      <c r="B224" s="1">
        <v>38.527999999999999</v>
      </c>
      <c r="C224" s="1">
        <v>0.128</v>
      </c>
      <c r="D224" s="1">
        <v>6.3496666666666668</v>
      </c>
      <c r="E224" s="1">
        <v>11.674666666666667</v>
      </c>
      <c r="F224" s="1">
        <v>0.122</v>
      </c>
      <c r="G224" s="15">
        <v>8.5603333333333342</v>
      </c>
    </row>
    <row r="225" spans="1:7" x14ac:dyDescent="0.35">
      <c r="A225" s="22">
        <v>25051</v>
      </c>
      <c r="B225" s="1">
        <v>47.661000000000001</v>
      </c>
      <c r="C225" s="1">
        <v>2.1599999999999998E-2</v>
      </c>
      <c r="D225" s="1">
        <v>3.532</v>
      </c>
      <c r="E225" s="1">
        <v>1.806</v>
      </c>
      <c r="F225" s="1">
        <v>3.9333333333333331E-2</v>
      </c>
      <c r="G225" s="15">
        <v>1.5813333333333333</v>
      </c>
    </row>
    <row r="226" spans="1:7" x14ac:dyDescent="0.35">
      <c r="A226" s="22">
        <v>25082</v>
      </c>
      <c r="B226" s="1">
        <v>192.70366666666666</v>
      </c>
      <c r="C226" s="1">
        <v>1.5566666666666666E-2</v>
      </c>
      <c r="D226" s="1">
        <v>3.9123333333333332</v>
      </c>
      <c r="E226" s="1">
        <v>1.4886666666666668</v>
      </c>
      <c r="F226" s="1">
        <v>0.11966666666666666</v>
      </c>
      <c r="G226" s="15">
        <v>14.511333333333333</v>
      </c>
    </row>
    <row r="227" spans="1:7" x14ac:dyDescent="0.35">
      <c r="A227" s="22">
        <v>25112</v>
      </c>
      <c r="B227" s="1">
        <v>78.053666666666672</v>
      </c>
      <c r="C227" s="1">
        <v>2.6200000000000001E-2</v>
      </c>
      <c r="D227" s="1">
        <v>3.3383333333333334</v>
      </c>
      <c r="E227" s="1">
        <v>2.1526666666666667</v>
      </c>
      <c r="F227" s="1">
        <v>0.26233333333333336</v>
      </c>
      <c r="G227" s="15">
        <v>10.844666666666667</v>
      </c>
    </row>
    <row r="228" spans="1:7" x14ac:dyDescent="0.35">
      <c r="A228" s="22">
        <v>25143</v>
      </c>
      <c r="B228" s="1">
        <v>51.523333333333333</v>
      </c>
      <c r="C228" s="1">
        <v>1.8133333333333331E-2</v>
      </c>
      <c r="D228" s="1">
        <v>1.9903333333333333</v>
      </c>
      <c r="E228" s="1">
        <v>0.85033333333333339</v>
      </c>
      <c r="F228" s="1">
        <v>8.900000000000001E-2</v>
      </c>
      <c r="G228" s="15">
        <v>2.7433333333333336</v>
      </c>
    </row>
    <row r="229" spans="1:7" x14ac:dyDescent="0.35">
      <c r="A229" s="22">
        <v>25173</v>
      </c>
      <c r="B229" s="1">
        <v>14.412666666666667</v>
      </c>
      <c r="C229" s="1">
        <v>1.5566666666666666E-2</v>
      </c>
      <c r="D229" s="1">
        <v>1.7346666666666666</v>
      </c>
      <c r="E229" s="1">
        <v>0.72099999999999997</v>
      </c>
      <c r="F229" s="1">
        <v>9.4666666666666663E-2</v>
      </c>
      <c r="G229" s="15">
        <v>2.0169999999999999</v>
      </c>
    </row>
    <row r="230" spans="1:7" x14ac:dyDescent="0.35">
      <c r="A230" s="22">
        <v>25204</v>
      </c>
      <c r="B230" s="1">
        <v>53.982666666666667</v>
      </c>
      <c r="C230" s="1">
        <v>2.2766666666666668E-2</v>
      </c>
      <c r="D230" s="1">
        <v>1.4433333333333334</v>
      </c>
      <c r="E230" s="1">
        <v>0.43099999999999999</v>
      </c>
      <c r="F230" s="1">
        <v>0.20833333333333334</v>
      </c>
      <c r="G230" s="15">
        <v>1.429</v>
      </c>
    </row>
    <row r="231" spans="1:7" x14ac:dyDescent="0.35">
      <c r="A231" s="22">
        <v>25235</v>
      </c>
      <c r="B231" s="1">
        <v>51.143000000000001</v>
      </c>
      <c r="C231" s="1">
        <v>0.28599999999999998</v>
      </c>
      <c r="D231" s="1">
        <v>1.5936666666666666</v>
      </c>
      <c r="E231" s="1">
        <v>0.45033333333333331</v>
      </c>
      <c r="F231" s="1">
        <v>0.104</v>
      </c>
      <c r="G231" s="15">
        <v>1.0996666666666666</v>
      </c>
    </row>
    <row r="232" spans="1:7" x14ac:dyDescent="0.35">
      <c r="A232" s="22">
        <v>25263</v>
      </c>
      <c r="B232" s="1">
        <v>53.573666666666668</v>
      </c>
      <c r="C232" s="1">
        <v>5.0333333333333334E-2</v>
      </c>
      <c r="D232" s="1">
        <v>1.45</v>
      </c>
      <c r="E232" s="1">
        <v>0.18500000000000003</v>
      </c>
      <c r="F232" s="1">
        <v>7.4999999999999997E-2</v>
      </c>
      <c r="G232" s="15">
        <v>0.92099999999999993</v>
      </c>
    </row>
    <row r="233" spans="1:7" x14ac:dyDescent="0.35">
      <c r="A233" s="22">
        <v>25294</v>
      </c>
      <c r="B233" s="1">
        <v>31.395</v>
      </c>
      <c r="C233" s="1">
        <v>2.5059999999999998</v>
      </c>
      <c r="D233" s="1">
        <v>2.1773333333333333</v>
      </c>
      <c r="E233" s="1">
        <v>8.9190000000000005</v>
      </c>
      <c r="F233" s="1">
        <v>0.23433333333333331</v>
      </c>
      <c r="G233" s="15">
        <v>1.9349999999999998</v>
      </c>
    </row>
    <row r="234" spans="1:7" x14ac:dyDescent="0.35">
      <c r="A234" s="22">
        <v>25324</v>
      </c>
      <c r="B234" s="1">
        <v>10.990333333333332</v>
      </c>
      <c r="C234" s="1">
        <v>0.67300000000000004</v>
      </c>
      <c r="D234" s="1">
        <v>2.7213333333333334</v>
      </c>
      <c r="E234" s="1">
        <v>2.6443333333333334</v>
      </c>
      <c r="F234" s="1">
        <v>0.78566666666666674</v>
      </c>
      <c r="G234" s="15">
        <v>6.5783333333333331</v>
      </c>
    </row>
    <row r="235" spans="1:7" x14ac:dyDescent="0.35">
      <c r="A235" s="22">
        <v>25355</v>
      </c>
      <c r="B235" s="1">
        <v>19.366</v>
      </c>
      <c r="C235" s="1">
        <v>3.7999999999999999E-2</v>
      </c>
      <c r="D235" s="1">
        <v>1.5546666666666666</v>
      </c>
      <c r="E235" s="1">
        <v>1.0853333333333333</v>
      </c>
      <c r="F235" s="1">
        <v>7.6666666666666675E-2</v>
      </c>
      <c r="G235" s="15">
        <v>3.2333333333333329</v>
      </c>
    </row>
    <row r="236" spans="1:7" x14ac:dyDescent="0.35">
      <c r="A236" s="22">
        <v>25385</v>
      </c>
      <c r="B236" s="1">
        <v>31.834666666666667</v>
      </c>
      <c r="C236" s="1">
        <v>3.4666666666666665E-2</v>
      </c>
      <c r="D236" s="1">
        <v>1.367</v>
      </c>
      <c r="E236" s="1">
        <v>0.55100000000000005</v>
      </c>
      <c r="F236" s="1">
        <v>0.112</v>
      </c>
      <c r="G236" s="15">
        <v>1.57</v>
      </c>
    </row>
    <row r="237" spans="1:7" x14ac:dyDescent="0.35">
      <c r="A237" s="22">
        <v>25416</v>
      </c>
      <c r="B237" s="1">
        <v>13.045333333333334</v>
      </c>
      <c r="C237" s="1">
        <v>2.234</v>
      </c>
      <c r="D237" s="1">
        <v>4.05</v>
      </c>
      <c r="E237" s="1">
        <v>4.7573333333333334</v>
      </c>
      <c r="F237" s="1">
        <v>7.2413333333333334</v>
      </c>
      <c r="G237" s="15">
        <v>1.8966666666666667</v>
      </c>
    </row>
    <row r="238" spans="1:7" x14ac:dyDescent="0.35">
      <c r="A238" s="22">
        <v>25447</v>
      </c>
      <c r="B238" s="1">
        <v>19.307666666666666</v>
      </c>
      <c r="C238" s="1">
        <v>5.6000000000000001E-2</v>
      </c>
      <c r="D238" s="1">
        <v>5.0863333333333332</v>
      </c>
      <c r="E238" s="1">
        <v>1.0193333333333332</v>
      </c>
      <c r="F238" s="1">
        <v>0.7596666666666666</v>
      </c>
      <c r="G238" s="15">
        <v>4.0116666666666667</v>
      </c>
    </row>
    <row r="239" spans="1:7" x14ac:dyDescent="0.35">
      <c r="A239" s="22">
        <v>25477</v>
      </c>
      <c r="B239" s="1">
        <v>18.722999999999999</v>
      </c>
      <c r="C239" s="1">
        <v>8.4060000000000006</v>
      </c>
      <c r="D239" s="1">
        <v>11.893666666666666</v>
      </c>
      <c r="E239" s="1">
        <v>1.1903333333333335</v>
      </c>
      <c r="F239" s="1">
        <v>0.72733333333333328</v>
      </c>
      <c r="G239" s="15">
        <v>5.1673333333333336</v>
      </c>
    </row>
    <row r="240" spans="1:7" x14ac:dyDescent="0.35">
      <c r="A240" s="22">
        <v>25508</v>
      </c>
      <c r="B240" s="1">
        <v>13.839333333333334</v>
      </c>
      <c r="C240" s="1">
        <v>0.50800000000000001</v>
      </c>
      <c r="D240" s="1">
        <v>4.0236666666666663</v>
      </c>
      <c r="E240" s="1">
        <v>1.0103333333333333</v>
      </c>
      <c r="F240" s="1">
        <v>0.25066666666666665</v>
      </c>
      <c r="G240" s="15">
        <v>0.87</v>
      </c>
    </row>
    <row r="241" spans="1:7" x14ac:dyDescent="0.35">
      <c r="A241" s="22">
        <v>25538</v>
      </c>
      <c r="B241" s="1">
        <v>12.363999999999999</v>
      </c>
      <c r="C241" s="1">
        <v>0.30499999999999999</v>
      </c>
      <c r="D241" s="1">
        <v>2.6739999999999999</v>
      </c>
      <c r="E241" s="1">
        <v>0.64466666666666661</v>
      </c>
      <c r="F241" s="1">
        <v>0.45033333333333331</v>
      </c>
      <c r="G241" s="15">
        <v>2.2846666666666668</v>
      </c>
    </row>
    <row r="242" spans="1:7" x14ac:dyDescent="0.35">
      <c r="A242" s="22">
        <v>25569</v>
      </c>
      <c r="B242" s="1">
        <v>10.745333333333333</v>
      </c>
      <c r="C242" s="1">
        <v>0.25633333333333336</v>
      </c>
      <c r="D242" s="1">
        <v>2.4553333333333334</v>
      </c>
      <c r="E242" s="1">
        <v>0.46266666666666662</v>
      </c>
      <c r="F242" s="1">
        <v>0.29633333333333334</v>
      </c>
      <c r="G242" s="15">
        <v>1.4509999999999998</v>
      </c>
    </row>
    <row r="243" spans="1:7" x14ac:dyDescent="0.35">
      <c r="A243" s="22">
        <v>25600</v>
      </c>
      <c r="B243" s="1">
        <v>9.3163333333333345</v>
      </c>
      <c r="C243" s="1">
        <v>0.13333333333333333</v>
      </c>
      <c r="D243" s="1">
        <v>1.9450000000000001</v>
      </c>
      <c r="E243" s="1">
        <v>0.34466666666666668</v>
      </c>
      <c r="F243" s="1">
        <v>0.31233333333333335</v>
      </c>
      <c r="G243" s="15">
        <v>0.443</v>
      </c>
    </row>
    <row r="244" spans="1:7" x14ac:dyDescent="0.35">
      <c r="A244" s="22">
        <v>25628</v>
      </c>
      <c r="B244" s="1">
        <v>7.4889999999999999</v>
      </c>
      <c r="C244" s="1">
        <v>0.16133333333333333</v>
      </c>
      <c r="D244" s="1">
        <v>2.1123333333333334</v>
      </c>
      <c r="E244" s="1">
        <v>0.38666666666666666</v>
      </c>
      <c r="F244" s="1">
        <v>0.28433333333333333</v>
      </c>
      <c r="G244" s="15">
        <v>0.33266666666666667</v>
      </c>
    </row>
    <row r="245" spans="1:7" x14ac:dyDescent="0.35">
      <c r="A245" s="22">
        <v>25659</v>
      </c>
      <c r="B245" s="1">
        <v>4.883</v>
      </c>
      <c r="C245" s="1">
        <v>9.5333333333333325E-2</v>
      </c>
      <c r="D245" s="1">
        <v>1.579</v>
      </c>
      <c r="E245" s="1">
        <v>0.15733333333333333</v>
      </c>
      <c r="F245" s="1">
        <v>0.20899999999999999</v>
      </c>
      <c r="G245" s="15">
        <v>0.48599999999999999</v>
      </c>
    </row>
    <row r="246" spans="1:7" x14ac:dyDescent="0.35">
      <c r="A246" s="22">
        <v>25689</v>
      </c>
      <c r="B246" s="1">
        <v>5.2843333333333335</v>
      </c>
      <c r="C246" s="1">
        <v>4.1666666666666664E-2</v>
      </c>
      <c r="D246" s="1">
        <v>1.4493333333333334</v>
      </c>
      <c r="E246" s="1">
        <v>6.0666666666666667E-2</v>
      </c>
      <c r="F246" s="1">
        <v>0.61</v>
      </c>
      <c r="G246" s="15">
        <v>1.2783333333333333</v>
      </c>
    </row>
    <row r="247" spans="1:7" x14ac:dyDescent="0.35">
      <c r="A247" s="22">
        <v>25720</v>
      </c>
      <c r="B247" s="1">
        <v>11.792</v>
      </c>
      <c r="C247" s="1">
        <v>3.1966666666666664E-2</v>
      </c>
      <c r="D247" s="1">
        <v>1.2876666666666667</v>
      </c>
      <c r="E247" s="1">
        <v>0.16066666666666665</v>
      </c>
      <c r="F247" s="1">
        <v>0.59299999999999997</v>
      </c>
      <c r="G247" s="15">
        <v>0.24399999999999999</v>
      </c>
    </row>
    <row r="248" spans="1:7" x14ac:dyDescent="0.35">
      <c r="A248" s="22">
        <v>25750</v>
      </c>
      <c r="B248" s="1">
        <v>9.7993333333333332</v>
      </c>
      <c r="C248" s="1">
        <v>1.8133333333333331E-2</v>
      </c>
      <c r="D248" s="1">
        <v>2.4689999999999999</v>
      </c>
      <c r="E248" s="1">
        <v>0.37766666666666665</v>
      </c>
      <c r="F248" s="1">
        <v>4.1000000000000002E-2</v>
      </c>
      <c r="G248" s="15">
        <v>1.0833333333333333</v>
      </c>
    </row>
    <row r="249" spans="1:7" x14ac:dyDescent="0.35">
      <c r="A249" s="22">
        <v>25781</v>
      </c>
      <c r="B249" s="1">
        <v>17.816666666666666</v>
      </c>
      <c r="C249" s="1">
        <v>6.7333333333333342E-2</v>
      </c>
      <c r="D249" s="1">
        <v>4.5339999999999998</v>
      </c>
      <c r="E249" s="1">
        <v>0.77666666666666673</v>
      </c>
      <c r="F249" s="1">
        <v>0.33333333333333331</v>
      </c>
      <c r="G249" s="15">
        <v>7.4333333333333335E-2</v>
      </c>
    </row>
    <row r="250" spans="1:7" x14ac:dyDescent="0.35">
      <c r="A250" s="22">
        <v>25812</v>
      </c>
      <c r="B250" s="1">
        <v>39.594333333333331</v>
      </c>
      <c r="C250" s="1">
        <v>3.8279999999999998</v>
      </c>
      <c r="D250" s="1">
        <v>10.377333333333334</v>
      </c>
      <c r="E250" s="1">
        <v>11.671333333333335</v>
      </c>
      <c r="F250" s="1">
        <v>0.94633333333333336</v>
      </c>
      <c r="G250" s="15">
        <v>9.2126666666666672</v>
      </c>
    </row>
    <row r="251" spans="1:7" x14ac:dyDescent="0.35">
      <c r="A251" s="22">
        <v>25842</v>
      </c>
      <c r="B251" s="1">
        <v>61.586000000000006</v>
      </c>
      <c r="C251" s="1">
        <v>0.14299999999999999</v>
      </c>
      <c r="D251" s="1">
        <v>13.645333333333333</v>
      </c>
      <c r="E251" s="1">
        <v>9.1043333333333329</v>
      </c>
      <c r="F251" s="1">
        <v>0.65666666666666662</v>
      </c>
      <c r="G251" s="15">
        <v>5.1523333333333339</v>
      </c>
    </row>
    <row r="252" spans="1:7" x14ac:dyDescent="0.35">
      <c r="A252" s="22">
        <v>25873</v>
      </c>
      <c r="B252" s="1">
        <v>34.096333333333334</v>
      </c>
      <c r="C252" s="1">
        <v>9.0666666666666673E-2</v>
      </c>
      <c r="D252" s="1">
        <v>7.5056666666666665</v>
      </c>
      <c r="E252" s="1">
        <v>2.7133333333333334</v>
      </c>
      <c r="F252" s="1">
        <v>0.21666666666666667</v>
      </c>
      <c r="G252" s="15">
        <v>0.14933333333333335</v>
      </c>
    </row>
    <row r="253" spans="1:7" x14ac:dyDescent="0.35">
      <c r="A253" s="22">
        <v>25903</v>
      </c>
      <c r="B253" s="1">
        <v>19.670333333333335</v>
      </c>
      <c r="C253" s="1">
        <v>0.14699999999999999</v>
      </c>
      <c r="D253" s="1">
        <v>4.8793333333333333</v>
      </c>
      <c r="E253" s="1">
        <v>2.4546666666666668</v>
      </c>
      <c r="F253" s="1">
        <v>0.69399999999999995</v>
      </c>
      <c r="G253" s="15">
        <v>3.5666666666666666E-2</v>
      </c>
    </row>
    <row r="254" spans="1:7" x14ac:dyDescent="0.35">
      <c r="A254" s="22">
        <v>25934</v>
      </c>
      <c r="B254" s="1">
        <v>11.776333333333334</v>
      </c>
      <c r="C254" s="1">
        <v>0.14633333333333334</v>
      </c>
      <c r="D254" s="1">
        <v>3.4356666666666666</v>
      </c>
      <c r="E254" s="1">
        <v>1.6886666666666665</v>
      </c>
      <c r="F254" s="1">
        <v>0.76533333333333331</v>
      </c>
      <c r="G254" s="15">
        <v>4.7666666666666663E-2</v>
      </c>
    </row>
    <row r="255" spans="1:7" x14ac:dyDescent="0.35">
      <c r="A255" s="22">
        <v>25965</v>
      </c>
      <c r="B255" s="1">
        <v>11.658333333333333</v>
      </c>
      <c r="C255" s="1">
        <v>0.15366666666666667</v>
      </c>
      <c r="D255" s="1">
        <v>2.1616666666666666</v>
      </c>
      <c r="E255" s="1">
        <v>0.997</v>
      </c>
      <c r="F255" s="1">
        <v>0.56933333333333336</v>
      </c>
      <c r="G255" s="15">
        <v>2.7366666666666668E-2</v>
      </c>
    </row>
    <row r="256" spans="1:7" x14ac:dyDescent="0.35">
      <c r="A256" s="22">
        <v>25993</v>
      </c>
      <c r="B256" s="1">
        <v>11.106</v>
      </c>
      <c r="C256" s="1">
        <v>0.15566666666666668</v>
      </c>
      <c r="D256" s="1">
        <v>2.13</v>
      </c>
      <c r="E256" s="1">
        <v>0.65033333333333332</v>
      </c>
      <c r="F256" s="1">
        <v>0.311</v>
      </c>
      <c r="G256" s="15">
        <v>0.19466666666666665</v>
      </c>
    </row>
    <row r="257" spans="1:7" x14ac:dyDescent="0.35">
      <c r="A257" s="22">
        <v>26024</v>
      </c>
      <c r="B257" s="1">
        <v>7.8363333333333332</v>
      </c>
      <c r="C257" s="1">
        <v>0.97233333333333327</v>
      </c>
      <c r="D257" s="1">
        <v>2.0593333333333335</v>
      </c>
      <c r="E257" s="1">
        <v>0.34600000000000003</v>
      </c>
      <c r="F257" s="1">
        <v>0.22366666666666668</v>
      </c>
      <c r="G257" s="15">
        <v>0</v>
      </c>
    </row>
    <row r="258" spans="1:7" x14ac:dyDescent="0.35">
      <c r="A258" s="22">
        <v>26054</v>
      </c>
      <c r="B258" s="1">
        <v>7.8553333333333333</v>
      </c>
      <c r="C258" s="1">
        <v>8.533333333333333E-2</v>
      </c>
      <c r="D258" s="1">
        <v>1.7303333333333333</v>
      </c>
      <c r="E258" s="1">
        <v>0.14066666666666666</v>
      </c>
      <c r="F258" s="1">
        <v>0.20966666666666667</v>
      </c>
      <c r="G258" s="15">
        <v>0</v>
      </c>
    </row>
    <row r="259" spans="1:7" x14ac:dyDescent="0.35">
      <c r="A259" s="22">
        <v>26085</v>
      </c>
      <c r="B259" s="1">
        <v>11.951000000000001</v>
      </c>
      <c r="C259" s="1">
        <v>0.60133333333333339</v>
      </c>
      <c r="D259" s="1">
        <v>3.5246666666666666</v>
      </c>
      <c r="E259" s="1">
        <v>1.9343333333333332</v>
      </c>
      <c r="F259" s="1">
        <v>1.6616666666666668</v>
      </c>
      <c r="G259" s="15">
        <v>71.11866666666667</v>
      </c>
    </row>
    <row r="260" spans="1:7" x14ac:dyDescent="0.35">
      <c r="A260" s="22">
        <v>26115</v>
      </c>
      <c r="B260" s="1">
        <v>11.941666666666668</v>
      </c>
      <c r="C260" s="1">
        <v>0.22933333333333331</v>
      </c>
      <c r="D260" s="1">
        <v>7.3916666666666666</v>
      </c>
      <c r="E260" s="1">
        <v>5.182666666666667</v>
      </c>
      <c r="F260" s="1">
        <v>1.0620000000000001</v>
      </c>
      <c r="G260" s="15">
        <v>181.54499999999999</v>
      </c>
    </row>
    <row r="261" spans="1:7" x14ac:dyDescent="0.35">
      <c r="A261" s="22">
        <v>26146</v>
      </c>
      <c r="B261" s="1">
        <v>37.55233333333333</v>
      </c>
      <c r="C261" s="1">
        <v>5.617</v>
      </c>
      <c r="D261" s="1">
        <v>22.116</v>
      </c>
      <c r="E261" s="1">
        <v>36.600333333333332</v>
      </c>
      <c r="F261" s="1">
        <v>6.0346666666666664</v>
      </c>
      <c r="G261" s="15">
        <v>38.064999999999998</v>
      </c>
    </row>
    <row r="262" spans="1:7" x14ac:dyDescent="0.35">
      <c r="A262" s="22">
        <v>26177</v>
      </c>
      <c r="B262" s="1">
        <v>26.316333333333333</v>
      </c>
      <c r="C262" s="1">
        <v>2.4833333333333334</v>
      </c>
      <c r="D262" s="1">
        <v>13.841333333333333</v>
      </c>
      <c r="E262" s="1">
        <v>9.3343333333333334</v>
      </c>
      <c r="F262" s="1">
        <v>7.6419999999999995</v>
      </c>
      <c r="G262" s="15">
        <v>332.06099999999998</v>
      </c>
    </row>
    <row r="263" spans="1:7" x14ac:dyDescent="0.35">
      <c r="A263" s="22">
        <v>26207</v>
      </c>
      <c r="B263" s="1">
        <v>28.596333333333334</v>
      </c>
      <c r="C263" s="1">
        <v>0.41033333333333338</v>
      </c>
      <c r="D263" s="1">
        <v>17.593999999999998</v>
      </c>
      <c r="E263" s="1">
        <v>19.869</v>
      </c>
      <c r="F263" s="1">
        <v>11.647</v>
      </c>
      <c r="G263" s="15">
        <v>226.44299999999998</v>
      </c>
    </row>
    <row r="264" spans="1:7" x14ac:dyDescent="0.35">
      <c r="A264" s="22">
        <v>26238</v>
      </c>
      <c r="B264" s="1">
        <v>3.0773333333333333</v>
      </c>
      <c r="C264" s="1">
        <v>0.27133333333333332</v>
      </c>
      <c r="D264" s="1">
        <v>12.139333333333333</v>
      </c>
      <c r="E264" s="1">
        <v>7.9229999999999992</v>
      </c>
      <c r="F264" s="1">
        <v>7.2436666666666669</v>
      </c>
      <c r="G264" s="15">
        <v>92.759</v>
      </c>
    </row>
    <row r="265" spans="1:7" x14ac:dyDescent="0.35">
      <c r="A265" s="22">
        <v>26268</v>
      </c>
      <c r="B265" s="1">
        <v>21.016333333333332</v>
      </c>
      <c r="C265" s="1">
        <v>0.27599999999999997</v>
      </c>
      <c r="D265" s="1">
        <v>9.6013333333333328</v>
      </c>
      <c r="E265" s="1">
        <v>6.1913333333333336</v>
      </c>
      <c r="F265" s="1">
        <v>5.5120000000000005</v>
      </c>
      <c r="G265" s="15">
        <v>44.755333333333333</v>
      </c>
    </row>
    <row r="266" spans="1:7" x14ac:dyDescent="0.35">
      <c r="A266" s="22">
        <v>26299</v>
      </c>
      <c r="B266" s="1">
        <v>38.611666666666665</v>
      </c>
      <c r="C266" s="1">
        <v>0.29599999999999999</v>
      </c>
      <c r="D266" s="1">
        <v>7.0799999999999992</v>
      </c>
      <c r="E266" s="1">
        <v>4.1016666666666666</v>
      </c>
      <c r="F266" s="1">
        <v>4.3250000000000002</v>
      </c>
      <c r="G266" s="15">
        <v>20.888666666666666</v>
      </c>
    </row>
    <row r="267" spans="1:7" x14ac:dyDescent="0.35">
      <c r="A267" s="22">
        <v>26330</v>
      </c>
      <c r="B267" s="1">
        <v>11.586333333333334</v>
      </c>
      <c r="C267" s="1">
        <v>0.25966666666666666</v>
      </c>
      <c r="D267" s="1">
        <v>5.1083333333333334</v>
      </c>
      <c r="E267" s="1">
        <v>2.7420000000000004</v>
      </c>
      <c r="F267" s="1">
        <v>3.26</v>
      </c>
      <c r="G267" s="15">
        <v>15.079666666666666</v>
      </c>
    </row>
    <row r="268" spans="1:7" x14ac:dyDescent="0.35">
      <c r="A268" s="22">
        <v>26359</v>
      </c>
      <c r="B268" s="1">
        <v>19.391000000000002</v>
      </c>
      <c r="C268" s="1">
        <v>0.21033333333333334</v>
      </c>
      <c r="D268" s="1">
        <v>2.7589999999999999</v>
      </c>
      <c r="E268" s="1">
        <v>1.5953333333333333</v>
      </c>
      <c r="F268" s="1">
        <v>2.4066666666666667</v>
      </c>
      <c r="G268" s="15">
        <v>10.568333333333333</v>
      </c>
    </row>
    <row r="269" spans="1:7" x14ac:dyDescent="0.35">
      <c r="A269" s="22">
        <v>26390</v>
      </c>
      <c r="B269" s="1">
        <v>16.655000000000001</v>
      </c>
      <c r="C269" s="1">
        <v>0.27199999999999996</v>
      </c>
      <c r="D269" s="1">
        <v>2.9043333333333332</v>
      </c>
      <c r="E269" s="1">
        <v>0.92766666666666664</v>
      </c>
      <c r="F269" s="1">
        <v>1.6026666666666667</v>
      </c>
      <c r="G269" s="15">
        <v>9.043000000000001</v>
      </c>
    </row>
    <row r="270" spans="1:7" x14ac:dyDescent="0.35">
      <c r="A270" s="22">
        <v>26420</v>
      </c>
      <c r="B270" s="1">
        <v>18.895666666666667</v>
      </c>
      <c r="C270" s="1">
        <v>0.73566666666666658</v>
      </c>
      <c r="D270" s="1">
        <v>2.76</v>
      </c>
      <c r="E270" s="1">
        <v>0.63700000000000001</v>
      </c>
      <c r="F270" s="1">
        <v>1.5223333333333333</v>
      </c>
      <c r="G270" s="15">
        <v>16.572666666666667</v>
      </c>
    </row>
    <row r="271" spans="1:7" x14ac:dyDescent="0.35">
      <c r="A271" s="22">
        <v>26451</v>
      </c>
      <c r="B271" s="1">
        <v>23.633333333333336</v>
      </c>
      <c r="C271" s="1">
        <v>0.38533333333333331</v>
      </c>
      <c r="D271" s="1">
        <v>2.41</v>
      </c>
      <c r="E271" s="1">
        <v>0.97566666666666668</v>
      </c>
      <c r="F271" s="1">
        <v>0.76233333333333331</v>
      </c>
      <c r="G271" s="15">
        <v>16.690666666666669</v>
      </c>
    </row>
    <row r="272" spans="1:7" x14ac:dyDescent="0.35">
      <c r="A272" s="22">
        <v>26481</v>
      </c>
      <c r="B272" s="1">
        <v>30.331999999999997</v>
      </c>
      <c r="C272" s="1">
        <v>0.17633333333333334</v>
      </c>
      <c r="D272" s="1">
        <v>3.1976666666666667</v>
      </c>
      <c r="E272" s="1">
        <v>2.6853333333333329</v>
      </c>
      <c r="F272" s="1">
        <v>0.64666666666666661</v>
      </c>
      <c r="G272" s="15">
        <v>8.9013333333333335</v>
      </c>
    </row>
    <row r="273" spans="1:7" x14ac:dyDescent="0.35">
      <c r="A273" s="22">
        <v>26512</v>
      </c>
      <c r="B273" s="1">
        <v>43.548333333333339</v>
      </c>
      <c r="C273" s="1">
        <v>0.94399999999999995</v>
      </c>
      <c r="D273" s="1">
        <v>9.0603333333333342</v>
      </c>
      <c r="E273" s="1">
        <v>11.44</v>
      </c>
      <c r="F273" s="1">
        <v>6.1419999999999995</v>
      </c>
      <c r="G273" s="15">
        <v>7.8493333333333331</v>
      </c>
    </row>
    <row r="274" spans="1:7" x14ac:dyDescent="0.35">
      <c r="A274" s="22">
        <v>26543</v>
      </c>
      <c r="B274" s="1">
        <v>108.164</v>
      </c>
      <c r="C274" s="1">
        <v>0.12966666666666668</v>
      </c>
      <c r="D274" s="1">
        <v>7.2880000000000003</v>
      </c>
      <c r="E274" s="1">
        <v>6.1236666666666659</v>
      </c>
      <c r="F274" s="1">
        <v>5.1553333333333331</v>
      </c>
      <c r="G274" s="15">
        <v>11.186666666666667</v>
      </c>
    </row>
    <row r="275" spans="1:7" x14ac:dyDescent="0.35">
      <c r="A275" s="22">
        <v>26573</v>
      </c>
      <c r="B275" s="1">
        <v>25.640666666666664</v>
      </c>
      <c r="C275" s="1">
        <v>0.11966666666666666</v>
      </c>
      <c r="D275" s="1">
        <v>6.7940000000000005</v>
      </c>
      <c r="E275" s="1">
        <v>4.2253333333333334</v>
      </c>
      <c r="F275" s="1">
        <v>4.1653333333333338</v>
      </c>
      <c r="G275" s="15">
        <v>12.353333333333333</v>
      </c>
    </row>
    <row r="276" spans="1:7" x14ac:dyDescent="0.35">
      <c r="A276" s="22">
        <v>26604</v>
      </c>
      <c r="B276" s="1">
        <v>10.814333333333332</v>
      </c>
      <c r="C276" s="1">
        <v>0.13766666666666666</v>
      </c>
      <c r="D276" s="1">
        <v>5.1669999999999998</v>
      </c>
      <c r="E276" s="1">
        <v>3.1543333333333332</v>
      </c>
      <c r="F276" s="1">
        <v>3.0766666666666667</v>
      </c>
      <c r="G276" s="15">
        <v>5.1506666666666669</v>
      </c>
    </row>
    <row r="277" spans="1:7" x14ac:dyDescent="0.35">
      <c r="A277" s="22">
        <v>26634</v>
      </c>
      <c r="B277" s="1">
        <v>9.9676666666666662</v>
      </c>
      <c r="C277" s="1">
        <v>0.14399999999999999</v>
      </c>
      <c r="D277" s="1">
        <v>3.8416666666666668</v>
      </c>
      <c r="E277" s="1">
        <v>2.4406666666666665</v>
      </c>
      <c r="F277" s="1">
        <v>2.8033333333333332</v>
      </c>
      <c r="G277" s="15">
        <v>3.8763333333333332</v>
      </c>
    </row>
    <row r="278" spans="1:7" x14ac:dyDescent="0.35">
      <c r="A278" s="22">
        <v>26665</v>
      </c>
      <c r="B278" s="1">
        <v>8.9580000000000002</v>
      </c>
      <c r="C278" s="1">
        <v>0.16400000000000001</v>
      </c>
      <c r="D278" s="1">
        <v>2.6739999999999999</v>
      </c>
      <c r="E278" s="1">
        <v>1.9359999999999999</v>
      </c>
      <c r="F278" s="1">
        <v>2.5843333333333334</v>
      </c>
      <c r="G278" s="15">
        <v>3.8736666666666668</v>
      </c>
    </row>
    <row r="279" spans="1:7" x14ac:dyDescent="0.35">
      <c r="A279" s="22">
        <v>26696</v>
      </c>
      <c r="B279" s="1">
        <v>6.5873333333333335</v>
      </c>
      <c r="C279" s="1">
        <v>0.17066666666666666</v>
      </c>
      <c r="D279" s="1">
        <v>2.4306666666666668</v>
      </c>
      <c r="E279" s="1">
        <v>1.4856666666666667</v>
      </c>
      <c r="F279" s="1">
        <v>2.2956666666666665</v>
      </c>
      <c r="G279" s="15">
        <v>3.5920000000000001</v>
      </c>
    </row>
    <row r="280" spans="1:7" x14ac:dyDescent="0.35">
      <c r="A280" s="22">
        <v>26724</v>
      </c>
      <c r="B280" s="1">
        <v>4.016</v>
      </c>
      <c r="C280" s="1">
        <v>0.18366666666666667</v>
      </c>
      <c r="D280" s="1">
        <v>2.6956666666666664</v>
      </c>
      <c r="E280" s="1">
        <v>1.3399999999999999</v>
      </c>
      <c r="F280" s="1">
        <v>1.962</v>
      </c>
      <c r="G280" s="15">
        <v>3.2893333333333334</v>
      </c>
    </row>
    <row r="281" spans="1:7" x14ac:dyDescent="0.35">
      <c r="A281" s="22">
        <v>26755</v>
      </c>
      <c r="B281" s="1">
        <v>2.8460000000000001</v>
      </c>
      <c r="C281" s="1">
        <v>0.12066666666666666</v>
      </c>
      <c r="D281" s="1">
        <v>2.1623333333333332</v>
      </c>
      <c r="E281" s="1">
        <v>1.1673333333333333</v>
      </c>
      <c r="F281" s="1">
        <v>1.1463333333333334</v>
      </c>
      <c r="G281" s="15">
        <v>2.4193333333333333</v>
      </c>
    </row>
    <row r="282" spans="1:7" x14ac:dyDescent="0.35">
      <c r="A282" s="22">
        <v>26785</v>
      </c>
      <c r="B282" s="1">
        <v>8.3233333333333324</v>
      </c>
      <c r="C282" s="1">
        <v>8.5666666666666669E-2</v>
      </c>
      <c r="D282" s="1">
        <v>1.7556666666666667</v>
      </c>
      <c r="E282" s="1">
        <v>0.76766666666666661</v>
      </c>
      <c r="F282" s="1">
        <v>0.75700000000000001</v>
      </c>
      <c r="G282" s="15">
        <v>2.1323333333333334</v>
      </c>
    </row>
    <row r="283" spans="1:7" x14ac:dyDescent="0.35">
      <c r="A283" s="22">
        <v>26816</v>
      </c>
      <c r="B283" s="1">
        <v>15.737</v>
      </c>
      <c r="C283" s="1">
        <v>5.4666666666666669E-2</v>
      </c>
      <c r="D283" s="1">
        <v>2.0383333333333336</v>
      </c>
      <c r="E283" s="1">
        <v>0.25533333333333336</v>
      </c>
      <c r="F283" s="1">
        <v>0.78200000000000003</v>
      </c>
      <c r="G283" s="15">
        <v>39.182000000000002</v>
      </c>
    </row>
    <row r="284" spans="1:7" x14ac:dyDescent="0.35">
      <c r="A284" s="22">
        <v>26846</v>
      </c>
      <c r="B284" s="1">
        <v>47.387666666666668</v>
      </c>
      <c r="C284" s="1">
        <v>7.2999999999999995E-2</v>
      </c>
      <c r="D284" s="1">
        <v>2.6933333333333334</v>
      </c>
      <c r="E284" s="1">
        <v>0.83733333333333337</v>
      </c>
      <c r="F284" s="1">
        <v>0.7453333333333334</v>
      </c>
      <c r="G284" s="15">
        <v>9.0246666666666666</v>
      </c>
    </row>
    <row r="285" spans="1:7" x14ac:dyDescent="0.35">
      <c r="A285" s="22">
        <v>26877</v>
      </c>
      <c r="B285" s="1">
        <v>100.18366666666667</v>
      </c>
      <c r="C285" s="1">
        <v>4.9666666666666665E-2</v>
      </c>
      <c r="D285" s="1">
        <v>2.3126666666666664</v>
      </c>
      <c r="E285" s="1">
        <v>0.49066666666666664</v>
      </c>
      <c r="F285" s="1">
        <v>0.55166666666666664</v>
      </c>
      <c r="G285" s="15">
        <v>7.0133333333333328</v>
      </c>
    </row>
    <row r="286" spans="1:7" x14ac:dyDescent="0.35">
      <c r="A286" s="22">
        <v>26908</v>
      </c>
      <c r="B286" s="1">
        <v>81.149666666666675</v>
      </c>
      <c r="C286" s="1">
        <v>4.7666666666666663E-2</v>
      </c>
      <c r="D286" s="1">
        <v>1.9993333333333334</v>
      </c>
      <c r="E286" s="1">
        <v>0.50466666666666671</v>
      </c>
      <c r="F286" s="1">
        <v>0.98566666666666658</v>
      </c>
      <c r="G286" s="15">
        <v>17.579666666666665</v>
      </c>
    </row>
    <row r="287" spans="1:7" x14ac:dyDescent="0.35">
      <c r="A287" s="22">
        <v>26938</v>
      </c>
      <c r="B287" s="1">
        <v>10.260333333333334</v>
      </c>
      <c r="C287" s="1">
        <v>1.4370000000000001</v>
      </c>
      <c r="D287" s="1">
        <v>25.911666666666665</v>
      </c>
      <c r="E287" s="1">
        <v>21.827666666666669</v>
      </c>
      <c r="F287" s="1">
        <v>5.1746666666666661</v>
      </c>
      <c r="G287" s="15">
        <v>21.355333333333334</v>
      </c>
    </row>
    <row r="288" spans="1:7" x14ac:dyDescent="0.35">
      <c r="A288" s="22">
        <v>26969</v>
      </c>
      <c r="B288" s="1">
        <v>9.8669999999999991</v>
      </c>
      <c r="C288" s="1">
        <v>0.23966666666666667</v>
      </c>
      <c r="D288" s="1">
        <v>7.9253333333333336</v>
      </c>
      <c r="E288" s="1">
        <v>4.2263333333333337</v>
      </c>
      <c r="F288" s="1">
        <v>2.7793333333333332</v>
      </c>
      <c r="G288" s="15">
        <v>10.644333333333334</v>
      </c>
    </row>
    <row r="289" spans="1:7" x14ac:dyDescent="0.35">
      <c r="A289" s="22">
        <v>26999</v>
      </c>
      <c r="B289" s="1">
        <v>7.5686666666666662</v>
      </c>
      <c r="C289" s="1">
        <v>0.19966666666666666</v>
      </c>
      <c r="D289" s="1">
        <v>5.2556666666666665</v>
      </c>
      <c r="E289" s="1">
        <v>2.7313333333333336</v>
      </c>
      <c r="F289" s="1">
        <v>2.0609999999999999</v>
      </c>
      <c r="G289" s="15">
        <v>7.5783333333333331</v>
      </c>
    </row>
    <row r="290" spans="1:7" x14ac:dyDescent="0.35">
      <c r="A290" s="22">
        <v>27030</v>
      </c>
      <c r="B290" s="1">
        <v>9.6940000000000008</v>
      </c>
      <c r="C290" s="1">
        <v>0.19633333333333333</v>
      </c>
      <c r="D290" s="1">
        <v>3.7833333333333332</v>
      </c>
      <c r="E290" s="1">
        <v>1.8080000000000001</v>
      </c>
      <c r="F290" s="1">
        <v>1.8806666666666667</v>
      </c>
      <c r="G290" s="15">
        <v>6.166666666666667</v>
      </c>
    </row>
    <row r="291" spans="1:7" x14ac:dyDescent="0.35">
      <c r="A291" s="22">
        <v>27061</v>
      </c>
      <c r="B291" s="1">
        <v>7.91</v>
      </c>
      <c r="C291" s="1">
        <v>0.17233333333333334</v>
      </c>
      <c r="D291" s="1">
        <v>2.7370000000000001</v>
      </c>
      <c r="E291" s="1">
        <v>0.9996666666666667</v>
      </c>
      <c r="F291" s="1">
        <v>1.587</v>
      </c>
      <c r="G291" s="15">
        <v>4.4906666666666668</v>
      </c>
    </row>
    <row r="292" spans="1:7" x14ac:dyDescent="0.35">
      <c r="A292" s="22">
        <v>27089</v>
      </c>
      <c r="B292" s="1">
        <v>10.705666666666666</v>
      </c>
      <c r="C292" s="1">
        <v>0.16866666666666666</v>
      </c>
      <c r="D292" s="1">
        <v>2.6943333333333332</v>
      </c>
      <c r="E292" s="1">
        <v>0.97299999999999998</v>
      </c>
      <c r="F292" s="1">
        <v>1.4480000000000002</v>
      </c>
      <c r="G292" s="15">
        <v>5.9936666666666669</v>
      </c>
    </row>
    <row r="293" spans="1:7" x14ac:dyDescent="0.35">
      <c r="A293" s="22">
        <v>27120</v>
      </c>
      <c r="B293" s="1">
        <v>17.894333333333332</v>
      </c>
      <c r="C293" s="1">
        <v>0.13533333333333333</v>
      </c>
      <c r="D293" s="1">
        <v>2.2583333333333333</v>
      </c>
      <c r="E293" s="1">
        <v>0.51766666666666661</v>
      </c>
      <c r="F293" s="1">
        <v>0.88800000000000001</v>
      </c>
      <c r="G293" s="15">
        <v>3.33</v>
      </c>
    </row>
    <row r="294" spans="1:7" x14ac:dyDescent="0.35">
      <c r="A294" s="22">
        <v>27150</v>
      </c>
      <c r="B294" s="1">
        <v>50.881</v>
      </c>
      <c r="C294" s="1">
        <v>0.11699999999999999</v>
      </c>
      <c r="D294" s="1">
        <v>2.2543333333333333</v>
      </c>
      <c r="E294" s="1">
        <v>0.38866666666666666</v>
      </c>
      <c r="F294" s="1">
        <v>0.64033333333333331</v>
      </c>
      <c r="G294" s="15">
        <v>3.347</v>
      </c>
    </row>
    <row r="295" spans="1:7" x14ac:dyDescent="0.35">
      <c r="A295" s="22">
        <v>27181</v>
      </c>
      <c r="B295" s="1">
        <v>37.731000000000002</v>
      </c>
      <c r="C295" s="1">
        <v>5.6333333333333339E-2</v>
      </c>
      <c r="D295" s="1">
        <v>1.2689999999999999</v>
      </c>
      <c r="E295" s="1">
        <v>9.2000000000000012E-2</v>
      </c>
      <c r="F295" s="1">
        <v>0.25733333333333336</v>
      </c>
      <c r="G295" s="15">
        <v>10.730666666666666</v>
      </c>
    </row>
    <row r="296" spans="1:7" x14ac:dyDescent="0.35">
      <c r="A296" s="22">
        <v>27211</v>
      </c>
      <c r="B296" s="1">
        <v>15.143333333333333</v>
      </c>
      <c r="C296" s="1">
        <v>3.1400000000000004E-2</v>
      </c>
      <c r="D296" s="1">
        <v>1.026</v>
      </c>
      <c r="E296" s="1">
        <v>0</v>
      </c>
      <c r="F296" s="1">
        <v>0.11966666666666666</v>
      </c>
      <c r="G296" s="15">
        <v>1.667</v>
      </c>
    </row>
    <row r="297" spans="1:7" x14ac:dyDescent="0.35">
      <c r="A297" s="22">
        <v>27242</v>
      </c>
      <c r="B297" s="1">
        <v>13.982999999999999</v>
      </c>
      <c r="C297" s="1">
        <v>0.60299999999999998</v>
      </c>
      <c r="D297" s="1">
        <v>2.337333333333333</v>
      </c>
      <c r="E297" s="1">
        <v>1.47E-2</v>
      </c>
      <c r="F297" s="1">
        <v>0.24566666666666667</v>
      </c>
      <c r="G297" s="15">
        <v>6.0976666666666661</v>
      </c>
    </row>
    <row r="298" spans="1:7" x14ac:dyDescent="0.35">
      <c r="A298" s="22">
        <v>27273</v>
      </c>
      <c r="B298" s="1">
        <v>126.416</v>
      </c>
      <c r="C298" s="1">
        <v>3.0443333333333329</v>
      </c>
      <c r="D298" s="1">
        <v>6.8526666666666669</v>
      </c>
      <c r="E298" s="1">
        <v>19.762666666666664</v>
      </c>
      <c r="F298" s="1">
        <v>0.76133333333333331</v>
      </c>
      <c r="G298" s="15">
        <v>12.975999999999999</v>
      </c>
    </row>
    <row r="299" spans="1:7" x14ac:dyDescent="0.35">
      <c r="A299" s="22">
        <v>27303</v>
      </c>
      <c r="B299" s="1">
        <v>93.283333333333346</v>
      </c>
      <c r="C299" s="1">
        <v>0.3106666666666667</v>
      </c>
      <c r="D299" s="1">
        <v>12.199666666666666</v>
      </c>
      <c r="E299" s="1">
        <v>7.1829999999999998</v>
      </c>
      <c r="F299" s="1">
        <v>0.40766666666666668</v>
      </c>
      <c r="G299" s="15">
        <v>4.5356666666666667</v>
      </c>
    </row>
    <row r="300" spans="1:7" x14ac:dyDescent="0.35">
      <c r="A300" s="22">
        <v>27334</v>
      </c>
      <c r="B300" s="1">
        <v>26.346333333333334</v>
      </c>
      <c r="C300" s="1">
        <v>0.24166666666666667</v>
      </c>
      <c r="D300" s="1">
        <v>10.434333333333333</v>
      </c>
      <c r="E300" s="1">
        <v>3.9863333333333331</v>
      </c>
      <c r="F300" s="1">
        <v>0.64400000000000002</v>
      </c>
      <c r="G300" s="15">
        <v>2.8049999999999997</v>
      </c>
    </row>
    <row r="301" spans="1:7" x14ac:dyDescent="0.35">
      <c r="A301" s="22">
        <v>27364</v>
      </c>
      <c r="B301" s="1">
        <v>12.896666666666667</v>
      </c>
      <c r="C301" s="1">
        <v>0.18766666666666665</v>
      </c>
      <c r="D301" s="1">
        <v>7.3309999999999995</v>
      </c>
      <c r="E301" s="1">
        <v>3.1363333333333334</v>
      </c>
      <c r="F301" s="1">
        <v>0.82233333333333336</v>
      </c>
      <c r="G301" s="15">
        <v>2.1173333333333333</v>
      </c>
    </row>
    <row r="302" spans="1:7" x14ac:dyDescent="0.35">
      <c r="A302" s="22">
        <v>27395</v>
      </c>
      <c r="B302" s="1">
        <v>10.679</v>
      </c>
      <c r="C302" s="1">
        <v>0.309</v>
      </c>
      <c r="D302" s="1">
        <v>5.1253333333333329</v>
      </c>
      <c r="E302" s="1">
        <v>2.3186666666666667</v>
      </c>
      <c r="F302" s="1">
        <v>1.1623333333333334</v>
      </c>
      <c r="G302" s="15">
        <v>2.2109999999999999</v>
      </c>
    </row>
    <row r="303" spans="1:7" x14ac:dyDescent="0.35">
      <c r="A303" s="22">
        <v>27426</v>
      </c>
      <c r="B303" s="1">
        <v>35.32033333333333</v>
      </c>
      <c r="C303" s="1">
        <v>0.26933333333333337</v>
      </c>
      <c r="D303" s="1">
        <v>4.1900000000000004</v>
      </c>
      <c r="E303" s="1">
        <v>1.5</v>
      </c>
      <c r="F303" s="1">
        <v>0.96533333333333327</v>
      </c>
      <c r="G303" s="15">
        <v>1.3203333333333334</v>
      </c>
    </row>
    <row r="304" spans="1:7" x14ac:dyDescent="0.35">
      <c r="A304" s="22">
        <v>27454</v>
      </c>
      <c r="B304" s="1">
        <v>82.733666666666664</v>
      </c>
      <c r="C304" s="1">
        <v>0.16900000000000001</v>
      </c>
      <c r="D304" s="1">
        <v>2.9603333333333333</v>
      </c>
      <c r="E304" s="1">
        <v>0.90800000000000003</v>
      </c>
      <c r="F304" s="1">
        <v>0.83433333333333337</v>
      </c>
      <c r="G304" s="15">
        <v>1.7649999999999999</v>
      </c>
    </row>
    <row r="305" spans="1:7" x14ac:dyDescent="0.35">
      <c r="A305" s="22">
        <v>27485</v>
      </c>
      <c r="B305" s="1">
        <v>35.446999999999996</v>
      </c>
      <c r="C305" s="1">
        <v>0.15366666666666667</v>
      </c>
      <c r="D305" s="1">
        <v>3.4983333333333331</v>
      </c>
      <c r="E305" s="1">
        <v>3.1470000000000002</v>
      </c>
      <c r="F305" s="1">
        <v>0.64900000000000002</v>
      </c>
      <c r="G305" s="15">
        <v>1.2926666666666666</v>
      </c>
    </row>
    <row r="306" spans="1:7" x14ac:dyDescent="0.35">
      <c r="A306" s="22">
        <v>27515</v>
      </c>
      <c r="B306" s="1">
        <v>13.573333333333332</v>
      </c>
      <c r="C306" s="1">
        <v>0.17666666666666667</v>
      </c>
      <c r="D306" s="1">
        <v>3.6493333333333333</v>
      </c>
      <c r="E306" s="1">
        <v>1.8109999999999999</v>
      </c>
      <c r="F306" s="1">
        <v>1.7606666666666666</v>
      </c>
      <c r="G306" s="15">
        <v>6.2240000000000002</v>
      </c>
    </row>
    <row r="307" spans="1:7" x14ac:dyDescent="0.35">
      <c r="A307" s="22">
        <v>27546</v>
      </c>
      <c r="B307" s="1">
        <v>11.408999999999999</v>
      </c>
      <c r="C307" s="1">
        <v>8.666666666666667E-2</v>
      </c>
      <c r="D307" s="1">
        <v>3.0399999999999996</v>
      </c>
      <c r="E307" s="1">
        <v>0.86266666666666669</v>
      </c>
      <c r="F307" s="1">
        <v>1.0166666666666666</v>
      </c>
      <c r="G307" s="15">
        <v>4.5279999999999996</v>
      </c>
    </row>
    <row r="308" spans="1:7" x14ac:dyDescent="0.35">
      <c r="A308" s="22">
        <v>27576</v>
      </c>
      <c r="B308" s="1">
        <v>17.541999999999998</v>
      </c>
      <c r="C308" s="1">
        <v>5.8180000000000005</v>
      </c>
      <c r="D308" s="1">
        <v>55.222000000000001</v>
      </c>
      <c r="E308" s="1">
        <v>86.992999999999995</v>
      </c>
      <c r="F308" s="1">
        <v>0.91833333333333333</v>
      </c>
      <c r="G308" s="15">
        <v>35.535000000000004</v>
      </c>
    </row>
    <row r="309" spans="1:7" x14ac:dyDescent="0.35">
      <c r="A309" s="22">
        <v>27607</v>
      </c>
      <c r="B309" s="1">
        <v>21.047000000000001</v>
      </c>
      <c r="C309" s="1">
        <v>0.26100000000000001</v>
      </c>
      <c r="D309" s="1">
        <v>19.97</v>
      </c>
      <c r="E309" s="1">
        <v>8.9863333333333326</v>
      </c>
      <c r="F309" s="1">
        <v>2.7136666666666667</v>
      </c>
      <c r="G309" s="15">
        <v>5.6046666666666667</v>
      </c>
    </row>
    <row r="310" spans="1:7" x14ac:dyDescent="0.35">
      <c r="A310" s="22">
        <v>27638</v>
      </c>
      <c r="B310" s="1">
        <v>16.188333333333333</v>
      </c>
      <c r="C310" s="1">
        <v>0.20099999999999998</v>
      </c>
      <c r="D310" s="1">
        <v>13.991</v>
      </c>
      <c r="E310" s="1">
        <v>5.2236666666666665</v>
      </c>
      <c r="F310" s="1">
        <v>3.4866666666666668</v>
      </c>
      <c r="G310" s="15">
        <v>27.746333333333336</v>
      </c>
    </row>
    <row r="311" spans="1:7" x14ac:dyDescent="0.35">
      <c r="A311" s="22">
        <v>27668</v>
      </c>
      <c r="B311" s="1">
        <v>9.488666666666667</v>
      </c>
      <c r="C311" s="1">
        <v>0.18166666666666667</v>
      </c>
      <c r="D311" s="1">
        <v>11.735999999999999</v>
      </c>
      <c r="E311" s="1">
        <v>4.2023333333333328</v>
      </c>
      <c r="F311" s="1">
        <v>3.2396666666666665</v>
      </c>
      <c r="G311" s="15">
        <v>10.608666666666666</v>
      </c>
    </row>
    <row r="312" spans="1:7" x14ac:dyDescent="0.35">
      <c r="A312" s="22">
        <v>27699</v>
      </c>
      <c r="B312" s="1">
        <v>9.445666666666666</v>
      </c>
      <c r="C312" s="1">
        <v>0.18899999999999997</v>
      </c>
      <c r="D312" s="1">
        <v>8.923</v>
      </c>
      <c r="E312" s="1">
        <v>3.1223333333333336</v>
      </c>
      <c r="F312" s="1">
        <v>2.6880000000000002</v>
      </c>
      <c r="G312" s="15">
        <v>7.0786666666666669</v>
      </c>
    </row>
    <row r="313" spans="1:7" x14ac:dyDescent="0.35">
      <c r="A313" s="22">
        <v>27729</v>
      </c>
      <c r="B313" s="1">
        <v>10.137666666666666</v>
      </c>
      <c r="C313" s="1">
        <v>0.24033333333333332</v>
      </c>
      <c r="D313" s="1">
        <v>6.5446666666666671</v>
      </c>
      <c r="E313" s="1">
        <v>2.5823333333333331</v>
      </c>
      <c r="F313" s="1">
        <v>2.3913333333333333</v>
      </c>
      <c r="G313" s="15">
        <v>4.8496666666666668</v>
      </c>
    </row>
    <row r="314" spans="1:7" x14ac:dyDescent="0.35">
      <c r="A314" s="22">
        <v>27760</v>
      </c>
      <c r="B314" s="1">
        <v>8.706666666666667</v>
      </c>
      <c r="C314" s="1">
        <v>0.22333333333333336</v>
      </c>
      <c r="D314" s="1">
        <v>4.2069999999999999</v>
      </c>
      <c r="E314" s="1">
        <v>1.6613333333333333</v>
      </c>
      <c r="F314" s="1">
        <v>1.9856666666666667</v>
      </c>
      <c r="G314" s="15">
        <v>3.73</v>
      </c>
    </row>
    <row r="315" spans="1:7" x14ac:dyDescent="0.35">
      <c r="A315" s="22">
        <v>27791</v>
      </c>
      <c r="B315" s="1">
        <v>4.0073333333333334</v>
      </c>
      <c r="C315" s="1">
        <v>0.20033333333333334</v>
      </c>
      <c r="D315" s="1">
        <v>2.8089999999999997</v>
      </c>
      <c r="E315" s="1">
        <v>1.21</v>
      </c>
      <c r="F315" s="1">
        <v>1.579</v>
      </c>
      <c r="G315" s="15">
        <v>2.3210000000000002</v>
      </c>
    </row>
    <row r="316" spans="1:7" x14ac:dyDescent="0.35">
      <c r="A316" s="22">
        <v>27820</v>
      </c>
      <c r="B316" s="1">
        <v>3.7810000000000001</v>
      </c>
      <c r="C316" s="1">
        <v>0.17133333333333334</v>
      </c>
      <c r="D316" s="1">
        <v>2.7276666666666665</v>
      </c>
      <c r="E316" s="1">
        <v>0.82299999999999995</v>
      </c>
      <c r="F316" s="1">
        <v>1.2030000000000001</v>
      </c>
      <c r="G316" s="15">
        <v>2.6586666666666665</v>
      </c>
    </row>
    <row r="317" spans="1:7" x14ac:dyDescent="0.35">
      <c r="A317" s="22">
        <v>27851</v>
      </c>
      <c r="B317" s="1">
        <v>2.2879999999999998</v>
      </c>
      <c r="C317" s="1">
        <v>0.42333333333333334</v>
      </c>
      <c r="D317" s="1">
        <v>4.048</v>
      </c>
      <c r="E317" s="1">
        <v>0.78133333333333332</v>
      </c>
      <c r="F317" s="1">
        <v>1.5066666666666666</v>
      </c>
      <c r="G317" s="15">
        <v>6.5153333333333334</v>
      </c>
    </row>
    <row r="318" spans="1:7" x14ac:dyDescent="0.35">
      <c r="A318" s="22">
        <v>27881</v>
      </c>
      <c r="B318" s="1">
        <v>8.0789999999999988</v>
      </c>
      <c r="C318" s="1">
        <v>0.29966666666666669</v>
      </c>
      <c r="D318" s="1">
        <v>5.6993333333333327</v>
      </c>
      <c r="E318" s="1">
        <v>5.7673333333333332</v>
      </c>
      <c r="F318" s="1">
        <v>1.6286666666666667</v>
      </c>
      <c r="G318" s="15">
        <v>4.8823333333333334</v>
      </c>
    </row>
    <row r="319" spans="1:7" x14ac:dyDescent="0.35">
      <c r="A319" s="22">
        <v>27912</v>
      </c>
      <c r="B319" s="1">
        <v>29.523</v>
      </c>
      <c r="C319" s="1">
        <v>8.7666666666666671E-2</v>
      </c>
      <c r="D319" s="1">
        <v>2.5633333333333335</v>
      </c>
      <c r="E319" s="1">
        <v>1.3390000000000002</v>
      </c>
      <c r="F319" s="1">
        <v>0.56366666666666665</v>
      </c>
      <c r="G319" s="15">
        <v>1.8399999999999999</v>
      </c>
    </row>
    <row r="320" spans="1:7" x14ac:dyDescent="0.35">
      <c r="A320" s="22">
        <v>27942</v>
      </c>
      <c r="B320" s="1">
        <v>63.544333333333334</v>
      </c>
      <c r="C320" s="1">
        <v>6.7466666666666661</v>
      </c>
      <c r="D320" s="1">
        <v>55.979333333333329</v>
      </c>
      <c r="E320" s="1">
        <v>186.93200000000002</v>
      </c>
      <c r="F320" s="1">
        <v>6.4009999999999998</v>
      </c>
      <c r="G320" s="15">
        <v>78.62533333333333</v>
      </c>
    </row>
    <row r="321" spans="1:7" x14ac:dyDescent="0.35">
      <c r="A321" s="22">
        <v>27973</v>
      </c>
      <c r="B321" s="1">
        <v>66.369666666666674</v>
      </c>
      <c r="C321" s="1">
        <v>0.3086666666666667</v>
      </c>
      <c r="D321" s="1">
        <v>37.517666666666663</v>
      </c>
      <c r="E321" s="1">
        <v>18.794999999999998</v>
      </c>
      <c r="F321" s="1">
        <v>12.378333333333332</v>
      </c>
      <c r="G321" s="15">
        <v>86.356666666666669</v>
      </c>
    </row>
    <row r="322" spans="1:7" x14ac:dyDescent="0.35">
      <c r="A322" s="22">
        <v>28004</v>
      </c>
      <c r="B322" s="1">
        <v>32.854999999999997</v>
      </c>
      <c r="C322" s="1">
        <v>0.20933333333333334</v>
      </c>
      <c r="D322" s="1">
        <v>23.788666666666668</v>
      </c>
      <c r="E322" s="1">
        <v>10.584</v>
      </c>
      <c r="F322" s="1">
        <v>10.266333333333334</v>
      </c>
      <c r="G322" s="15">
        <v>51.431000000000004</v>
      </c>
    </row>
    <row r="323" spans="1:7" x14ac:dyDescent="0.35">
      <c r="A323" s="22">
        <v>28034</v>
      </c>
      <c r="B323" s="1">
        <v>13.231333333333334</v>
      </c>
      <c r="C323" s="1">
        <v>0.24866666666666667</v>
      </c>
      <c r="D323" s="1">
        <v>18.213000000000001</v>
      </c>
      <c r="E323" s="1">
        <v>8.6423333333333332</v>
      </c>
      <c r="F323" s="1">
        <v>9.7263333333333328</v>
      </c>
      <c r="G323" s="15">
        <v>38.462333333333333</v>
      </c>
    </row>
    <row r="324" spans="1:7" x14ac:dyDescent="0.35">
      <c r="A324" s="22">
        <v>28065</v>
      </c>
      <c r="B324" s="1">
        <v>6.1053333333333333</v>
      </c>
      <c r="C324" s="1">
        <v>0.33466666666666667</v>
      </c>
      <c r="D324" s="1">
        <v>16.732666666666667</v>
      </c>
      <c r="E324" s="1">
        <v>6.9563333333333333</v>
      </c>
      <c r="F324" s="1">
        <v>9.1763333333333339</v>
      </c>
      <c r="G324" s="15">
        <v>49.570666666666661</v>
      </c>
    </row>
    <row r="325" spans="1:7" x14ac:dyDescent="0.35">
      <c r="A325" s="22">
        <v>28095</v>
      </c>
      <c r="B325" s="1">
        <v>8.0183333333333326</v>
      </c>
      <c r="C325" s="1">
        <v>0.4383333333333333</v>
      </c>
      <c r="D325" s="1">
        <v>11.54</v>
      </c>
      <c r="E325" s="1">
        <v>5.8883333333333328</v>
      </c>
      <c r="F325" s="1">
        <v>9.0466666666666669</v>
      </c>
      <c r="G325" s="15">
        <v>53.095666666666666</v>
      </c>
    </row>
    <row r="326" spans="1:7" x14ac:dyDescent="0.35">
      <c r="A326" s="22">
        <v>28126</v>
      </c>
      <c r="B326" s="1">
        <v>5.916666666666667</v>
      </c>
      <c r="C326" s="1">
        <v>0.32100000000000001</v>
      </c>
      <c r="D326" s="1">
        <v>10.552333333333333</v>
      </c>
      <c r="E326" s="1">
        <v>4.8513333333333337</v>
      </c>
      <c r="F326" s="1">
        <v>7.7833333333333341</v>
      </c>
      <c r="G326" s="15">
        <v>24.592333333333332</v>
      </c>
    </row>
    <row r="327" spans="1:7" x14ac:dyDescent="0.35">
      <c r="A327" s="22">
        <v>28157</v>
      </c>
      <c r="B327" s="1">
        <v>4.1903333333333332</v>
      </c>
      <c r="C327" s="1">
        <v>0.29699999999999999</v>
      </c>
      <c r="D327" s="1">
        <v>9.1353333333333335</v>
      </c>
      <c r="E327" s="1">
        <v>3.6286666666666663</v>
      </c>
      <c r="F327" s="1">
        <v>5.9343333333333339</v>
      </c>
      <c r="G327" s="15">
        <v>21.939999999999998</v>
      </c>
    </row>
    <row r="328" spans="1:7" x14ac:dyDescent="0.35">
      <c r="A328" s="22">
        <v>28185</v>
      </c>
      <c r="B328" s="1">
        <v>25.806666666666668</v>
      </c>
      <c r="C328" s="1">
        <v>0.29966666666666669</v>
      </c>
      <c r="D328" s="1">
        <v>6.1080000000000005</v>
      </c>
      <c r="E328" s="1">
        <v>3.2143333333333337</v>
      </c>
      <c r="F328" s="1">
        <v>4.6900000000000004</v>
      </c>
      <c r="G328" s="15">
        <v>7.5103333333333326</v>
      </c>
    </row>
    <row r="329" spans="1:7" x14ac:dyDescent="0.35">
      <c r="A329" s="22">
        <v>28216</v>
      </c>
      <c r="B329" s="1">
        <v>35.965333333333334</v>
      </c>
      <c r="C329" s="1">
        <v>0.4423333333333333</v>
      </c>
      <c r="D329" s="1">
        <v>8.8583333333333325</v>
      </c>
      <c r="E329" s="1">
        <v>2.5683333333333334</v>
      </c>
      <c r="F329" s="1">
        <v>2.9076666666666671</v>
      </c>
      <c r="G329" s="15">
        <v>4.2783333333333333</v>
      </c>
    </row>
    <row r="330" spans="1:7" x14ac:dyDescent="0.35">
      <c r="A330" s="22">
        <v>28246</v>
      </c>
      <c r="B330" s="1">
        <v>35.602666666666671</v>
      </c>
      <c r="C330" s="1">
        <v>0.40166666666666667</v>
      </c>
      <c r="D330" s="1">
        <v>14.711</v>
      </c>
      <c r="E330" s="1">
        <v>3.0950000000000002</v>
      </c>
      <c r="F330" s="1">
        <v>2.9250000000000003</v>
      </c>
      <c r="G330" s="15">
        <v>4.1176666666666666</v>
      </c>
    </row>
    <row r="331" spans="1:7" x14ac:dyDescent="0.35">
      <c r="A331" s="22">
        <v>28277</v>
      </c>
      <c r="B331" s="1">
        <v>13.709000000000001</v>
      </c>
      <c r="C331" s="1">
        <v>0.14433333333333334</v>
      </c>
      <c r="D331" s="1">
        <v>8.4743333333333322</v>
      </c>
      <c r="E331" s="1">
        <v>1.7086666666666668</v>
      </c>
      <c r="F331" s="1">
        <v>1.4419999999999999</v>
      </c>
      <c r="G331" s="15">
        <v>3.7913333333333337</v>
      </c>
    </row>
    <row r="332" spans="1:7" x14ac:dyDescent="0.35">
      <c r="A332" s="22">
        <v>28307</v>
      </c>
      <c r="B332" s="1">
        <v>15.192</v>
      </c>
      <c r="C332" s="1">
        <v>8.3666666666666667E-2</v>
      </c>
      <c r="D332" s="1">
        <v>9.3486666666666665</v>
      </c>
      <c r="E332" s="1">
        <v>1.2703333333333333</v>
      </c>
      <c r="F332" s="1">
        <v>0.91800000000000004</v>
      </c>
      <c r="G332" s="15">
        <v>2.9256666666666664</v>
      </c>
    </row>
    <row r="333" spans="1:7" x14ac:dyDescent="0.35">
      <c r="A333" s="22">
        <v>28338</v>
      </c>
      <c r="B333" s="1">
        <v>27.570333333333334</v>
      </c>
      <c r="C333" s="1">
        <v>7.6666666666666675E-2</v>
      </c>
      <c r="D333" s="1">
        <v>6.194</v>
      </c>
      <c r="E333" s="1">
        <v>0.89500000000000002</v>
      </c>
      <c r="F333" s="1">
        <v>0.67799999999999994</v>
      </c>
      <c r="G333" s="15">
        <v>1.9113333333333333</v>
      </c>
    </row>
    <row r="334" spans="1:7" x14ac:dyDescent="0.35">
      <c r="A334" s="22">
        <v>28369</v>
      </c>
      <c r="B334" s="1">
        <v>7.3563333333333327</v>
      </c>
      <c r="C334" s="1">
        <v>9.3333333333333338E-2</v>
      </c>
      <c r="D334" s="1">
        <v>4.056</v>
      </c>
      <c r="E334" s="1">
        <v>0.6226666666666667</v>
      </c>
      <c r="F334" s="1">
        <v>0.65766666666666673</v>
      </c>
      <c r="G334" s="15">
        <v>2.6146666666666669</v>
      </c>
    </row>
    <row r="335" spans="1:7" x14ac:dyDescent="0.35">
      <c r="A335" s="22">
        <v>28399</v>
      </c>
      <c r="B335" s="1">
        <v>6.9416666666666664</v>
      </c>
      <c r="C335" s="1">
        <v>0.96833333333333327</v>
      </c>
      <c r="D335" s="1">
        <v>6.6990000000000007</v>
      </c>
      <c r="E335" s="1">
        <v>0.72299999999999998</v>
      </c>
      <c r="F335" s="1">
        <v>0.85599999999999998</v>
      </c>
      <c r="G335" s="15">
        <v>9.6429999999999989</v>
      </c>
    </row>
    <row r="336" spans="1:7" x14ac:dyDescent="0.35">
      <c r="A336" s="22">
        <v>28430</v>
      </c>
      <c r="B336" s="1">
        <v>6.0986666666666665</v>
      </c>
      <c r="C336" s="1">
        <v>0.17233333333333334</v>
      </c>
      <c r="D336" s="1">
        <v>4.6790000000000003</v>
      </c>
      <c r="E336" s="1">
        <v>0.69366666666666665</v>
      </c>
      <c r="F336" s="1">
        <v>0.91100000000000003</v>
      </c>
      <c r="G336" s="15">
        <v>2.0256666666666665</v>
      </c>
    </row>
    <row r="337" spans="1:7" x14ac:dyDescent="0.35">
      <c r="A337" s="22">
        <v>28460</v>
      </c>
      <c r="B337" s="1">
        <v>7.1406666666666672</v>
      </c>
      <c r="C337" s="1">
        <v>0.107</v>
      </c>
      <c r="D337" s="1">
        <v>3.406333333333333</v>
      </c>
      <c r="E337" s="1">
        <v>0.57799999999999996</v>
      </c>
      <c r="F337" s="1">
        <v>0.78100000000000003</v>
      </c>
      <c r="G337" s="15">
        <v>1.9636666666666667</v>
      </c>
    </row>
    <row r="338" spans="1:7" x14ac:dyDescent="0.35">
      <c r="A338" s="22">
        <v>28491</v>
      </c>
      <c r="B338" s="1">
        <v>6.1166666666666671</v>
      </c>
      <c r="C338" s="1">
        <v>0.11499999999999999</v>
      </c>
      <c r="D338" s="1">
        <v>2.4596666666666667</v>
      </c>
      <c r="E338" s="1">
        <v>0.23066666666666666</v>
      </c>
      <c r="F338" s="1">
        <v>0.91966666666666663</v>
      </c>
      <c r="G338" s="15">
        <v>1.7803333333333333</v>
      </c>
    </row>
    <row r="339" spans="1:7" x14ac:dyDescent="0.35">
      <c r="A339" s="22">
        <v>28522</v>
      </c>
      <c r="B339" s="1">
        <v>5.6636666666666668</v>
      </c>
      <c r="C339" s="1">
        <v>0.13033333333333333</v>
      </c>
      <c r="D339" s="1">
        <v>1.9033333333333333</v>
      </c>
      <c r="E339" s="1">
        <v>0.19166666666666665</v>
      </c>
      <c r="F339" s="1">
        <v>0.89</v>
      </c>
      <c r="G339" s="15">
        <v>1.4989999999999999</v>
      </c>
    </row>
    <row r="340" spans="1:7" x14ac:dyDescent="0.35">
      <c r="A340" s="22">
        <v>28550</v>
      </c>
      <c r="B340" s="1">
        <v>4.9240000000000004</v>
      </c>
      <c r="C340" s="1">
        <v>0.11566666666666665</v>
      </c>
      <c r="D340" s="1">
        <v>1.2796666666666667</v>
      </c>
      <c r="E340" s="1">
        <v>0.18733333333333335</v>
      </c>
      <c r="F340" s="1">
        <v>0.82699999999999996</v>
      </c>
      <c r="G340" s="15">
        <v>1.5279999999999998</v>
      </c>
    </row>
    <row r="341" spans="1:7" x14ac:dyDescent="0.35">
      <c r="A341" s="22">
        <v>28581</v>
      </c>
      <c r="B341" s="1">
        <v>26.640666666666664</v>
      </c>
      <c r="C341" s="1">
        <v>0.27299999999999996</v>
      </c>
      <c r="D341" s="1">
        <v>1.1540000000000001</v>
      </c>
      <c r="E341" s="1">
        <v>0.12433333333333334</v>
      </c>
      <c r="F341" s="1">
        <v>0.39100000000000001</v>
      </c>
      <c r="G341" s="15">
        <v>0.9913333333333334</v>
      </c>
    </row>
    <row r="342" spans="1:7" x14ac:dyDescent="0.35">
      <c r="A342" s="22">
        <v>28611</v>
      </c>
      <c r="B342" s="1">
        <v>31.449666666666669</v>
      </c>
      <c r="C342" s="1">
        <v>0.29599999999999999</v>
      </c>
      <c r="D342" s="1">
        <v>1.1526666666666667</v>
      </c>
      <c r="E342" s="1">
        <v>6.2E-2</v>
      </c>
      <c r="F342" s="1">
        <v>0.92866666666666664</v>
      </c>
      <c r="G342" s="15">
        <v>3.0859999999999999</v>
      </c>
    </row>
    <row r="343" spans="1:7" x14ac:dyDescent="0.35">
      <c r="A343" s="22">
        <v>28642</v>
      </c>
      <c r="B343" s="1">
        <v>16.375666666666667</v>
      </c>
      <c r="C343" s="1">
        <v>0.51400000000000001</v>
      </c>
      <c r="D343" s="1">
        <v>2.0289999999999999</v>
      </c>
      <c r="E343" s="1">
        <v>0.61099999999999999</v>
      </c>
      <c r="F343" s="1">
        <v>0.54866666666666664</v>
      </c>
      <c r="G343" s="15">
        <v>13.520333333333333</v>
      </c>
    </row>
    <row r="344" spans="1:7" x14ac:dyDescent="0.35">
      <c r="A344" s="22">
        <v>28672</v>
      </c>
      <c r="B344" s="1">
        <v>15.969666666666667</v>
      </c>
      <c r="C344" s="1">
        <v>0.18700000000000003</v>
      </c>
      <c r="D344" s="1">
        <v>1.1483333333333332</v>
      </c>
      <c r="E344" s="1">
        <v>0.22900000000000001</v>
      </c>
      <c r="F344" s="1">
        <v>0.20633333333333334</v>
      </c>
      <c r="G344" s="15">
        <v>3.6673333333333336</v>
      </c>
    </row>
    <row r="345" spans="1:7" x14ac:dyDescent="0.35">
      <c r="A345" s="22">
        <v>28703</v>
      </c>
      <c r="B345" s="1">
        <v>65.191666666666663</v>
      </c>
      <c r="C345" s="1">
        <v>5.1333333333333335E-2</v>
      </c>
      <c r="D345" s="1">
        <v>2.8200000000000003</v>
      </c>
      <c r="E345" s="1">
        <v>0.61499999999999999</v>
      </c>
      <c r="F345" s="1">
        <v>0.40966666666666668</v>
      </c>
      <c r="G345" s="15">
        <v>17.320333333333334</v>
      </c>
    </row>
    <row r="346" spans="1:7" x14ac:dyDescent="0.35">
      <c r="A346" s="22">
        <v>28734</v>
      </c>
      <c r="B346" s="1">
        <v>183.38966666666667</v>
      </c>
      <c r="C346" s="1">
        <v>0.23766666666666666</v>
      </c>
      <c r="D346" s="1">
        <v>6.8090000000000002</v>
      </c>
      <c r="E346" s="1">
        <v>11.404000000000002</v>
      </c>
      <c r="F346" s="1">
        <v>1.9553333333333331</v>
      </c>
      <c r="G346" s="15">
        <v>67.629333333333335</v>
      </c>
    </row>
    <row r="347" spans="1:7" x14ac:dyDescent="0.35">
      <c r="A347" s="22">
        <v>28764</v>
      </c>
      <c r="B347" s="1">
        <v>269.709</v>
      </c>
      <c r="C347" s="1">
        <v>0.11566666666666665</v>
      </c>
      <c r="D347" s="1">
        <v>13.006</v>
      </c>
      <c r="E347" s="1">
        <v>7.1630000000000003</v>
      </c>
      <c r="F347" s="1">
        <v>4.9393333333333329</v>
      </c>
      <c r="G347" s="15">
        <v>62.599666666666671</v>
      </c>
    </row>
    <row r="348" spans="1:7" x14ac:dyDescent="0.35">
      <c r="A348" s="22">
        <v>28795</v>
      </c>
      <c r="B348" s="1">
        <v>56.5</v>
      </c>
      <c r="C348" s="1">
        <v>1.1736666666666666</v>
      </c>
      <c r="D348" s="1">
        <v>20.050333333333334</v>
      </c>
      <c r="E348" s="1">
        <v>34.544000000000004</v>
      </c>
      <c r="F348" s="1">
        <v>10.565</v>
      </c>
      <c r="G348" s="15">
        <v>30.40133333333333</v>
      </c>
    </row>
    <row r="349" spans="1:7" x14ac:dyDescent="0.35">
      <c r="A349" s="22">
        <v>28825</v>
      </c>
      <c r="B349" s="1">
        <v>16.384666666666668</v>
      </c>
      <c r="C349" s="1">
        <v>0.153</v>
      </c>
      <c r="D349" s="1">
        <v>15.025</v>
      </c>
      <c r="E349" s="1">
        <v>8.2110000000000003</v>
      </c>
      <c r="F349" s="1">
        <v>7.2930000000000001</v>
      </c>
      <c r="G349" s="15">
        <v>29.419333333333331</v>
      </c>
    </row>
    <row r="350" spans="1:7" x14ac:dyDescent="0.35">
      <c r="A350" s="22">
        <v>28856</v>
      </c>
      <c r="B350" s="1">
        <v>23.33966666666667</v>
      </c>
      <c r="C350" s="1">
        <v>0.18999999999999997</v>
      </c>
      <c r="D350" s="1">
        <v>10.975</v>
      </c>
      <c r="E350" s="1">
        <v>5.4606666666666674</v>
      </c>
      <c r="F350" s="1">
        <v>5.6503333333333332</v>
      </c>
      <c r="G350" s="15">
        <v>24.093999999999998</v>
      </c>
    </row>
    <row r="351" spans="1:7" x14ac:dyDescent="0.35">
      <c r="A351" s="22">
        <v>28887</v>
      </c>
      <c r="B351" s="1">
        <v>20.237666666666666</v>
      </c>
      <c r="C351" s="1">
        <v>0.17166666666666666</v>
      </c>
      <c r="D351" s="1">
        <v>6.5569999999999995</v>
      </c>
      <c r="E351" s="1">
        <v>4.0836666666666668</v>
      </c>
      <c r="F351" s="1">
        <v>3.7466666666666666</v>
      </c>
      <c r="G351" s="15">
        <v>9.6519999999999992</v>
      </c>
    </row>
    <row r="352" spans="1:7" x14ac:dyDescent="0.35">
      <c r="A352" s="22">
        <v>28915</v>
      </c>
      <c r="B352" s="1">
        <v>39.398333333333333</v>
      </c>
      <c r="C352" s="1">
        <v>0.27566666666666667</v>
      </c>
      <c r="D352" s="1">
        <v>7.3073333333333332</v>
      </c>
      <c r="E352" s="1">
        <v>2.7250000000000001</v>
      </c>
      <c r="F352" s="1">
        <v>2.7433333333333336</v>
      </c>
      <c r="G352" s="15">
        <v>4.7329999999999997</v>
      </c>
    </row>
    <row r="353" spans="1:7" x14ac:dyDescent="0.35">
      <c r="A353" s="22">
        <v>28946</v>
      </c>
      <c r="B353" s="1">
        <v>36.953333333333333</v>
      </c>
      <c r="C353" s="1">
        <v>0.23333333333333331</v>
      </c>
      <c r="D353" s="1">
        <v>6.0173333333333332</v>
      </c>
      <c r="E353" s="1">
        <v>1.8226666666666667</v>
      </c>
      <c r="F353" s="1">
        <v>2.5169999999999999</v>
      </c>
      <c r="G353" s="15">
        <v>8.1189999999999998</v>
      </c>
    </row>
    <row r="354" spans="1:7" x14ac:dyDescent="0.35">
      <c r="A354" s="22">
        <v>28976</v>
      </c>
      <c r="B354" s="1">
        <v>38.525666666666666</v>
      </c>
      <c r="C354" s="1">
        <v>0.54866666666666664</v>
      </c>
      <c r="D354" s="1">
        <v>4.2073333333333336</v>
      </c>
      <c r="E354" s="1">
        <v>0.95766666666666678</v>
      </c>
      <c r="F354" s="1">
        <v>1.5443333333333333</v>
      </c>
      <c r="G354" s="15">
        <v>3.1053333333333337</v>
      </c>
    </row>
    <row r="355" spans="1:7" x14ac:dyDescent="0.35">
      <c r="A355" s="22">
        <v>29007</v>
      </c>
      <c r="B355" s="1">
        <v>57.550999999999995</v>
      </c>
      <c r="C355" s="1">
        <v>1.6766666666666667</v>
      </c>
      <c r="D355" s="1">
        <v>18.832333333333334</v>
      </c>
      <c r="E355" s="1">
        <v>5.2480000000000002</v>
      </c>
      <c r="F355" s="1">
        <v>5.0153333333333334</v>
      </c>
      <c r="G355" s="15">
        <v>45.439</v>
      </c>
    </row>
    <row r="356" spans="1:7" x14ac:dyDescent="0.35">
      <c r="A356" s="22">
        <v>29037</v>
      </c>
      <c r="B356" s="1">
        <v>41.984666666666662</v>
      </c>
      <c r="C356" s="1">
        <v>7.6999999999999999E-2</v>
      </c>
      <c r="D356" s="1">
        <v>8.7013333333333325</v>
      </c>
      <c r="E356" s="1">
        <v>2.7289999999999996</v>
      </c>
      <c r="F356" s="1">
        <v>2.1496666666666666</v>
      </c>
      <c r="G356" s="15">
        <v>10.710333333333333</v>
      </c>
    </row>
    <row r="357" spans="1:7" x14ac:dyDescent="0.35">
      <c r="A357" s="22">
        <v>29068</v>
      </c>
      <c r="B357" s="1">
        <v>50.529666666666664</v>
      </c>
      <c r="C357" s="1">
        <v>0.18533333333333335</v>
      </c>
      <c r="D357" s="1">
        <v>6.4556666666666667</v>
      </c>
      <c r="E357" s="1">
        <v>1.7619999999999998</v>
      </c>
      <c r="F357" s="1">
        <v>1.3676666666666666</v>
      </c>
      <c r="G357" s="15">
        <v>3.2213333333333334</v>
      </c>
    </row>
    <row r="358" spans="1:7" x14ac:dyDescent="0.35">
      <c r="A358" s="22">
        <v>29099</v>
      </c>
      <c r="B358" s="1">
        <v>10.058666666666666</v>
      </c>
      <c r="C358" s="1">
        <v>4.5333333333333337E-2</v>
      </c>
      <c r="D358" s="1">
        <v>4.5356666666666667</v>
      </c>
      <c r="E358" s="1">
        <v>1.4186666666666667</v>
      </c>
      <c r="F358" s="1">
        <v>1.0283333333333333</v>
      </c>
      <c r="G358" s="15">
        <v>3.2643333333333331</v>
      </c>
    </row>
    <row r="359" spans="1:7" x14ac:dyDescent="0.35">
      <c r="A359" s="22">
        <v>29129</v>
      </c>
      <c r="B359" s="1">
        <v>7.6400000000000006</v>
      </c>
      <c r="C359" s="1">
        <v>4.5666666666666668E-2</v>
      </c>
      <c r="D359" s="1">
        <v>3.1253333333333333</v>
      </c>
      <c r="E359" s="1">
        <v>0.6166666666666667</v>
      </c>
      <c r="F359" s="1">
        <v>0.85</v>
      </c>
      <c r="G359" s="15">
        <v>2.2650000000000001</v>
      </c>
    </row>
    <row r="360" spans="1:7" x14ac:dyDescent="0.35">
      <c r="A360" s="22">
        <v>29160</v>
      </c>
      <c r="B360" s="1">
        <v>6.5</v>
      </c>
      <c r="C360" s="1">
        <v>5.2666666666666667E-2</v>
      </c>
      <c r="D360" s="1">
        <v>2.9376666666666669</v>
      </c>
      <c r="E360" s="1">
        <v>0.75666666666666671</v>
      </c>
      <c r="F360" s="1">
        <v>1.1133333333333333</v>
      </c>
      <c r="G360" s="15">
        <v>1.5813333333333333</v>
      </c>
    </row>
    <row r="361" spans="1:7" x14ac:dyDescent="0.35">
      <c r="A361" s="22">
        <v>29190</v>
      </c>
      <c r="B361" s="1">
        <v>5.6426666666666669</v>
      </c>
      <c r="C361" s="1">
        <v>6.0999999999999999E-2</v>
      </c>
      <c r="D361" s="1">
        <v>2.7663333333333333</v>
      </c>
      <c r="E361" s="1">
        <v>0.39066666666666666</v>
      </c>
      <c r="F361" s="1">
        <v>1.2853333333333332</v>
      </c>
      <c r="G361" s="15">
        <v>1.3833333333333335</v>
      </c>
    </row>
    <row r="362" spans="1:7" x14ac:dyDescent="0.35">
      <c r="A362" s="22">
        <v>29221</v>
      </c>
      <c r="B362" s="1">
        <v>7.3029999999999999</v>
      </c>
      <c r="C362" s="1">
        <v>7.1333333333333332E-2</v>
      </c>
      <c r="D362" s="1">
        <v>2.2843333333333331</v>
      </c>
      <c r="E362" s="1">
        <v>0.37966666666666665</v>
      </c>
      <c r="F362" s="1">
        <v>1.1996666666666667</v>
      </c>
      <c r="G362" s="15">
        <v>1.4686666666666666</v>
      </c>
    </row>
    <row r="363" spans="1:7" x14ac:dyDescent="0.35">
      <c r="A363" s="22">
        <v>29252</v>
      </c>
      <c r="B363" s="1">
        <v>6.6260000000000003</v>
      </c>
      <c r="C363" s="1">
        <v>6.4000000000000001E-2</v>
      </c>
      <c r="D363" s="1">
        <v>1.1626666666666667</v>
      </c>
      <c r="E363" s="1">
        <v>0.17200000000000001</v>
      </c>
      <c r="F363" s="1">
        <v>1.1879999999999999</v>
      </c>
      <c r="G363" s="15">
        <v>1.2889999999999999</v>
      </c>
    </row>
    <row r="364" spans="1:7" x14ac:dyDescent="0.35">
      <c r="A364" s="22">
        <v>29281</v>
      </c>
      <c r="B364" s="1">
        <v>15.421666666666667</v>
      </c>
      <c r="C364" s="1">
        <v>7.1333333333333332E-2</v>
      </c>
      <c r="D364" s="1">
        <v>0.97533333333333339</v>
      </c>
      <c r="E364" s="1">
        <v>0.11066666666666668</v>
      </c>
      <c r="F364" s="1">
        <v>0.79233333333333322</v>
      </c>
      <c r="G364" s="15">
        <v>1.1460000000000001</v>
      </c>
    </row>
    <row r="365" spans="1:7" x14ac:dyDescent="0.35">
      <c r="A365" s="22">
        <v>29312</v>
      </c>
      <c r="B365" s="1">
        <v>15.938000000000001</v>
      </c>
      <c r="C365" s="1">
        <v>4.9333333333333333E-2</v>
      </c>
      <c r="D365" s="1">
        <v>0.96733333333333338</v>
      </c>
      <c r="E365" s="1">
        <v>3.3333333333333333E-2</v>
      </c>
      <c r="F365" s="1">
        <v>0.58100000000000007</v>
      </c>
      <c r="G365" s="15">
        <v>1.3006666666666666</v>
      </c>
    </row>
    <row r="366" spans="1:7" x14ac:dyDescent="0.35">
      <c r="A366" s="22">
        <v>29342</v>
      </c>
      <c r="B366" s="1">
        <v>29.718666666666667</v>
      </c>
      <c r="C366" s="1">
        <v>0.41199999999999998</v>
      </c>
      <c r="D366" s="1">
        <v>2.2456666666666667</v>
      </c>
      <c r="E366" s="1">
        <v>0.18466666666666667</v>
      </c>
      <c r="F366" s="1">
        <v>1.3833333333333335</v>
      </c>
      <c r="G366" s="15">
        <v>9.35</v>
      </c>
    </row>
    <row r="367" spans="1:7" x14ac:dyDescent="0.35">
      <c r="A367" s="22">
        <v>29373</v>
      </c>
      <c r="B367" s="1">
        <v>3.7256666666666667</v>
      </c>
      <c r="C367" s="1">
        <v>4.4000000000000004E-2</v>
      </c>
      <c r="D367" s="1">
        <v>0.85733333333333339</v>
      </c>
      <c r="E367" s="1">
        <v>1.4966666666666668E-2</v>
      </c>
      <c r="F367" s="1">
        <v>0.3726666666666667</v>
      </c>
      <c r="G367" s="15">
        <v>1.5843333333333334</v>
      </c>
    </row>
    <row r="368" spans="1:7" x14ac:dyDescent="0.35">
      <c r="A368" s="22">
        <v>29403</v>
      </c>
      <c r="B368" s="1">
        <v>7.543333333333333</v>
      </c>
      <c r="C368" s="1">
        <v>4.9333333333333333E-2</v>
      </c>
      <c r="D368" s="1">
        <v>0.47733333333333333</v>
      </c>
      <c r="E368" s="1">
        <v>9.4999999999999998E-3</v>
      </c>
      <c r="F368" s="1">
        <v>0.08</v>
      </c>
      <c r="G368" s="15">
        <v>0.59533333333333338</v>
      </c>
    </row>
    <row r="369" spans="1:7" x14ac:dyDescent="0.35">
      <c r="A369" s="22">
        <v>29434</v>
      </c>
      <c r="B369" s="1">
        <v>37.56366666666667</v>
      </c>
      <c r="C369" s="1">
        <v>8.1773333333333333</v>
      </c>
      <c r="D369" s="1">
        <v>16.219666666666665</v>
      </c>
      <c r="E369" s="1">
        <v>19.686</v>
      </c>
      <c r="F369" s="1">
        <v>4.2250000000000005</v>
      </c>
      <c r="G369" s="15">
        <v>51.599333333333334</v>
      </c>
    </row>
    <row r="370" spans="1:7" x14ac:dyDescent="0.35">
      <c r="A370" s="22">
        <v>29465</v>
      </c>
      <c r="B370" s="1">
        <v>54.489666666666665</v>
      </c>
      <c r="C370" s="1">
        <v>6.5000000000000002E-2</v>
      </c>
      <c r="D370" s="1">
        <v>9.4960000000000004</v>
      </c>
      <c r="E370" s="1">
        <v>14.821333333333333</v>
      </c>
      <c r="F370" s="1">
        <v>0.8650000000000001</v>
      </c>
      <c r="G370" s="15">
        <v>2.9380000000000002</v>
      </c>
    </row>
    <row r="371" spans="1:7" x14ac:dyDescent="0.35">
      <c r="A371" s="22">
        <v>29495</v>
      </c>
      <c r="B371" s="1">
        <v>27.587666666666667</v>
      </c>
      <c r="C371" s="1">
        <v>5.1333333333333335E-2</v>
      </c>
      <c r="D371" s="1">
        <v>17.446999999999999</v>
      </c>
      <c r="E371" s="1">
        <v>9.5</v>
      </c>
      <c r="F371" s="1">
        <v>2.3359999999999999</v>
      </c>
      <c r="G371" s="15">
        <v>2.653</v>
      </c>
    </row>
    <row r="372" spans="1:7" x14ac:dyDescent="0.35">
      <c r="A372" s="22">
        <v>29526</v>
      </c>
      <c r="B372" s="1">
        <v>11.580333333333334</v>
      </c>
      <c r="C372" s="1">
        <v>0.10833333333333334</v>
      </c>
      <c r="D372" s="1">
        <v>13.141333333333334</v>
      </c>
      <c r="E372" s="1">
        <v>2.3733333333333335</v>
      </c>
      <c r="F372" s="1">
        <v>2.9763333333333333</v>
      </c>
      <c r="G372" s="15">
        <v>3.0559999999999996</v>
      </c>
    </row>
    <row r="373" spans="1:7" x14ac:dyDescent="0.35">
      <c r="A373" s="22">
        <v>29556</v>
      </c>
      <c r="B373" s="1">
        <v>9.4866666666666664</v>
      </c>
      <c r="C373" s="1">
        <v>0.19866666666666666</v>
      </c>
      <c r="D373" s="1">
        <v>11.416666666666666</v>
      </c>
      <c r="E373" s="1">
        <v>1.9766666666666666</v>
      </c>
      <c r="F373" s="1">
        <v>3.7100000000000004</v>
      </c>
      <c r="G373" s="15">
        <v>2.2850000000000001</v>
      </c>
    </row>
    <row r="374" spans="1:7" x14ac:dyDescent="0.35">
      <c r="A374" s="22">
        <v>29587</v>
      </c>
      <c r="B374" s="1">
        <v>20.142666666666667</v>
      </c>
      <c r="C374" s="1">
        <v>0.19333333333333333</v>
      </c>
      <c r="D374" s="1">
        <v>6.448666666666667</v>
      </c>
      <c r="E374" s="1">
        <v>1.0640000000000001</v>
      </c>
      <c r="F374" s="1">
        <v>3.7256666666666667</v>
      </c>
      <c r="G374" s="15">
        <v>3.0239999999999996</v>
      </c>
    </row>
    <row r="375" spans="1:7" x14ac:dyDescent="0.35">
      <c r="A375" s="22">
        <v>29618</v>
      </c>
      <c r="B375" s="1">
        <v>30.274666666666665</v>
      </c>
      <c r="C375" s="1">
        <v>0.13200000000000001</v>
      </c>
      <c r="D375" s="1">
        <v>3.4406666666666665</v>
      </c>
      <c r="E375" s="1">
        <v>0.67633333333333334</v>
      </c>
      <c r="F375" s="1">
        <v>3.0433333333333334</v>
      </c>
      <c r="G375" s="15">
        <v>7.6386666666666665</v>
      </c>
    </row>
    <row r="376" spans="1:7" x14ac:dyDescent="0.35">
      <c r="A376" s="22">
        <v>29646</v>
      </c>
      <c r="B376" s="1">
        <v>37.733666666666664</v>
      </c>
      <c r="C376" s="1">
        <v>0.16766666666666666</v>
      </c>
      <c r="D376" s="1">
        <v>3.5579999999999998</v>
      </c>
      <c r="E376" s="1">
        <v>0.70533333333333337</v>
      </c>
      <c r="F376" s="1">
        <v>2.0760000000000001</v>
      </c>
      <c r="G376" s="15">
        <v>3.7486666666666668</v>
      </c>
    </row>
    <row r="377" spans="1:7" x14ac:dyDescent="0.35">
      <c r="A377" s="22">
        <v>29677</v>
      </c>
      <c r="B377" s="1">
        <v>33.148666666666664</v>
      </c>
      <c r="C377" s="1">
        <v>2.5129999999999999</v>
      </c>
      <c r="D377" s="1">
        <v>13.225999999999999</v>
      </c>
      <c r="E377" s="1">
        <v>11.953333333333333</v>
      </c>
      <c r="F377" s="1">
        <v>4.8849999999999998</v>
      </c>
      <c r="G377" s="15">
        <v>83.457666666666668</v>
      </c>
    </row>
    <row r="378" spans="1:7" x14ac:dyDescent="0.35">
      <c r="A378" s="22">
        <v>29707</v>
      </c>
      <c r="B378" s="1">
        <v>19.601333333333333</v>
      </c>
      <c r="C378" s="1">
        <v>0.49033333333333334</v>
      </c>
      <c r="D378" s="1">
        <v>22.51</v>
      </c>
      <c r="E378" s="1">
        <v>12.037666666666667</v>
      </c>
      <c r="F378" s="1">
        <v>8.7726666666666677</v>
      </c>
      <c r="G378" s="15">
        <v>149.16666666666666</v>
      </c>
    </row>
    <row r="379" spans="1:7" x14ac:dyDescent="0.35">
      <c r="A379" s="22">
        <v>29738</v>
      </c>
      <c r="B379" s="1">
        <v>28.854666666666663</v>
      </c>
      <c r="C379" s="1">
        <v>1.5049999999999999</v>
      </c>
      <c r="D379" s="1">
        <v>14.636000000000001</v>
      </c>
      <c r="E379" s="1">
        <v>4.9983333333333331</v>
      </c>
      <c r="F379" s="1">
        <v>6.835</v>
      </c>
      <c r="G379" s="15">
        <v>101.48366666666668</v>
      </c>
    </row>
    <row r="380" spans="1:7" x14ac:dyDescent="0.35">
      <c r="A380" s="22">
        <v>29768</v>
      </c>
      <c r="B380" s="1">
        <v>20.416333333333334</v>
      </c>
      <c r="C380" s="1">
        <v>0.14133333333333334</v>
      </c>
      <c r="D380" s="1">
        <v>10.028</v>
      </c>
      <c r="E380" s="1">
        <v>2.8546666666666667</v>
      </c>
      <c r="F380" s="1">
        <v>4.958333333333333</v>
      </c>
      <c r="G380" s="15">
        <v>48.041333333333334</v>
      </c>
    </row>
    <row r="381" spans="1:7" x14ac:dyDescent="0.35">
      <c r="A381" s="22">
        <v>29799</v>
      </c>
      <c r="B381" s="1">
        <v>46.292999999999999</v>
      </c>
      <c r="C381" s="1">
        <v>9.5333333333333325E-2</v>
      </c>
      <c r="D381" s="1">
        <v>6.5403333333333329</v>
      </c>
      <c r="E381" s="1">
        <v>1.2966666666666666</v>
      </c>
      <c r="F381" s="1">
        <v>3.1839999999999997</v>
      </c>
      <c r="G381" s="15">
        <v>7.9823333333333331</v>
      </c>
    </row>
    <row r="382" spans="1:7" x14ac:dyDescent="0.35">
      <c r="A382" s="22">
        <v>29830</v>
      </c>
      <c r="B382" s="1">
        <v>113.901</v>
      </c>
      <c r="C382" s="1">
        <v>7.7333333333333337E-2</v>
      </c>
      <c r="D382" s="1">
        <v>6.0249999999999995</v>
      </c>
      <c r="E382" s="1">
        <v>1.323</v>
      </c>
      <c r="F382" s="1">
        <v>3.5623333333333331</v>
      </c>
      <c r="G382" s="15">
        <v>5.8776666666666664</v>
      </c>
    </row>
    <row r="383" spans="1:7" x14ac:dyDescent="0.35">
      <c r="A383" s="22">
        <v>29860</v>
      </c>
      <c r="B383" s="1">
        <v>70.660666666666671</v>
      </c>
      <c r="C383" s="1">
        <v>2.1216666666666666</v>
      </c>
      <c r="D383" s="1">
        <v>7.1280000000000001</v>
      </c>
      <c r="E383" s="1">
        <v>1.3516666666666666</v>
      </c>
      <c r="F383" s="1">
        <v>3.1436666666666664</v>
      </c>
      <c r="G383" s="15">
        <v>5.8223333333333329</v>
      </c>
    </row>
    <row r="384" spans="1:7" x14ac:dyDescent="0.35">
      <c r="A384" s="22">
        <v>29891</v>
      </c>
      <c r="B384" s="1">
        <v>30.818999999999999</v>
      </c>
      <c r="C384" s="1">
        <v>0.20299999999999999</v>
      </c>
      <c r="D384" s="1">
        <v>5.4396666666666667</v>
      </c>
      <c r="E384" s="1">
        <v>1.1813333333333333</v>
      </c>
      <c r="F384" s="1">
        <v>2.5033333333333334</v>
      </c>
      <c r="G384" s="15">
        <v>3.3859999999999997</v>
      </c>
    </row>
    <row r="385" spans="1:7" x14ac:dyDescent="0.35">
      <c r="A385" s="22">
        <v>29921</v>
      </c>
      <c r="B385" s="1">
        <v>27.123999999999999</v>
      </c>
      <c r="C385" s="1">
        <v>0.20366666666666666</v>
      </c>
      <c r="D385" s="1">
        <v>3.9236666666666671</v>
      </c>
      <c r="E385" s="1">
        <v>0.89800000000000002</v>
      </c>
      <c r="F385" s="1">
        <v>2.2799999999999998</v>
      </c>
      <c r="G385" s="15">
        <v>2.8219999999999996</v>
      </c>
    </row>
    <row r="386" spans="1:7" x14ac:dyDescent="0.35">
      <c r="A386" s="22">
        <v>29952</v>
      </c>
      <c r="B386" s="1">
        <v>12.668999999999999</v>
      </c>
      <c r="C386" s="1">
        <v>0.21866666666666668</v>
      </c>
      <c r="D386" s="1">
        <v>2.3503333333333334</v>
      </c>
      <c r="E386" s="1">
        <v>0.65300000000000002</v>
      </c>
      <c r="F386" s="1">
        <v>2.3029999999999999</v>
      </c>
      <c r="G386" s="15">
        <v>3.0226666666666664</v>
      </c>
    </row>
    <row r="387" spans="1:7" x14ac:dyDescent="0.35">
      <c r="A387" s="22">
        <v>29983</v>
      </c>
      <c r="B387" s="1">
        <v>14.682333333333332</v>
      </c>
      <c r="C387" s="1">
        <v>0.25866666666666666</v>
      </c>
      <c r="D387" s="1">
        <v>2.3439999999999999</v>
      </c>
      <c r="E387" s="1">
        <v>0.41266666666666668</v>
      </c>
      <c r="F387" s="1">
        <v>1.7266666666666666</v>
      </c>
      <c r="G387" s="15">
        <v>3.2143333333333337</v>
      </c>
    </row>
    <row r="388" spans="1:7" x14ac:dyDescent="0.35">
      <c r="A388" s="22">
        <v>30011</v>
      </c>
      <c r="B388" s="1">
        <v>22.766333333333336</v>
      </c>
      <c r="C388" s="1">
        <v>0.25266666666666665</v>
      </c>
      <c r="D388" s="1">
        <v>2.3473333333333333</v>
      </c>
      <c r="E388" s="1">
        <v>0.5056666666666666</v>
      </c>
      <c r="F388" s="1">
        <v>1.8523333333333334</v>
      </c>
      <c r="G388" s="15">
        <v>3.0596666666666668</v>
      </c>
    </row>
    <row r="389" spans="1:7" x14ac:dyDescent="0.35">
      <c r="A389" s="22">
        <v>30042</v>
      </c>
      <c r="B389" s="1">
        <v>32.837666666666671</v>
      </c>
      <c r="C389" s="1">
        <v>0.16433333333333333</v>
      </c>
      <c r="D389" s="1">
        <v>1.373</v>
      </c>
      <c r="E389" s="1">
        <v>0.29599999999999999</v>
      </c>
      <c r="F389" s="1">
        <v>1.4463333333333335</v>
      </c>
      <c r="G389" s="15">
        <v>6.2736666666666672</v>
      </c>
    </row>
    <row r="390" spans="1:7" x14ac:dyDescent="0.35">
      <c r="A390" s="22">
        <v>30072</v>
      </c>
      <c r="B390" s="1">
        <v>40.988</v>
      </c>
      <c r="C390" s="1">
        <v>0.18400000000000002</v>
      </c>
      <c r="D390" s="1">
        <v>1.6493333333333335</v>
      </c>
      <c r="E390" s="1">
        <v>0.3213333333333333</v>
      </c>
      <c r="F390" s="1">
        <v>1.4106666666666667</v>
      </c>
      <c r="G390" s="15">
        <v>21.080000000000002</v>
      </c>
    </row>
    <row r="391" spans="1:7" x14ac:dyDescent="0.35">
      <c r="A391" s="22">
        <v>30103</v>
      </c>
      <c r="B391" s="1">
        <v>34.528333333333329</v>
      </c>
      <c r="C391" s="1">
        <v>8.3666666666666667E-2</v>
      </c>
      <c r="D391" s="1">
        <v>1.032</v>
      </c>
      <c r="E391" s="1">
        <v>0.27799999999999997</v>
      </c>
      <c r="F391" s="1">
        <v>0.90633333333333332</v>
      </c>
      <c r="G391" s="15">
        <v>4.2993333333333332</v>
      </c>
    </row>
    <row r="392" spans="1:7" x14ac:dyDescent="0.35">
      <c r="A392" s="22">
        <v>30133</v>
      </c>
      <c r="B392" s="1">
        <v>16.444666666666667</v>
      </c>
      <c r="C392" s="1">
        <v>5.6333333333333339E-2</v>
      </c>
      <c r="D392" s="1">
        <v>0.90899999999999992</v>
      </c>
      <c r="E392" s="1">
        <v>0.22433333333333336</v>
      </c>
      <c r="F392" s="1">
        <v>0.70699999999999996</v>
      </c>
      <c r="G392" s="15">
        <v>1.4943333333333333</v>
      </c>
    </row>
    <row r="393" spans="1:7" x14ac:dyDescent="0.35">
      <c r="A393" s="22">
        <v>30164</v>
      </c>
      <c r="B393" s="1">
        <v>15.938000000000001</v>
      </c>
      <c r="C393" s="1">
        <v>4.0666666666666663E-2</v>
      </c>
      <c r="D393" s="1">
        <v>0.97366666666666657</v>
      </c>
      <c r="E393" s="1">
        <v>0.17233333333333334</v>
      </c>
      <c r="F393" s="1">
        <v>0.54066666666666674</v>
      </c>
      <c r="G393" s="15">
        <v>1.6693333333333333</v>
      </c>
    </row>
    <row r="394" spans="1:7" x14ac:dyDescent="0.35">
      <c r="A394" s="22">
        <v>30195</v>
      </c>
      <c r="B394" s="1">
        <v>13.106999999999999</v>
      </c>
      <c r="C394" s="1">
        <v>4.7666666666666663E-2</v>
      </c>
      <c r="D394" s="1">
        <v>1.7916666666666667</v>
      </c>
      <c r="E394" s="1">
        <v>0.58799999999999997</v>
      </c>
      <c r="F394" s="1">
        <v>0.621</v>
      </c>
      <c r="G394" s="15">
        <v>1.7316666666666667</v>
      </c>
    </row>
    <row r="395" spans="1:7" x14ac:dyDescent="0.35">
      <c r="A395" s="22">
        <v>30225</v>
      </c>
      <c r="B395" s="1">
        <v>7.8193333333333328</v>
      </c>
      <c r="C395" s="1">
        <v>5.1333333333333335E-2</v>
      </c>
      <c r="D395" s="1">
        <v>1.7373333333333332</v>
      </c>
      <c r="E395" s="1">
        <v>0.3056666666666667</v>
      </c>
      <c r="F395" s="1">
        <v>0.58599999999999997</v>
      </c>
      <c r="G395" s="15">
        <v>2.1973333333333334</v>
      </c>
    </row>
    <row r="396" spans="1:7" x14ac:dyDescent="0.35">
      <c r="A396" s="22">
        <v>30256</v>
      </c>
      <c r="B396" s="1">
        <v>4.8613333333333335</v>
      </c>
      <c r="C396" s="1">
        <v>5.9333333333333328E-2</v>
      </c>
      <c r="D396" s="1">
        <v>1.409</v>
      </c>
      <c r="E396" s="1">
        <v>0.25733333333333336</v>
      </c>
      <c r="F396" s="1">
        <v>0.65166666666666673</v>
      </c>
      <c r="G396" s="15">
        <v>2.8556666666666666</v>
      </c>
    </row>
    <row r="397" spans="1:7" x14ac:dyDescent="0.35">
      <c r="A397" s="22">
        <v>30286</v>
      </c>
      <c r="B397" s="1">
        <v>3.0356666666666663</v>
      </c>
      <c r="C397" s="1">
        <v>7.8E-2</v>
      </c>
      <c r="D397" s="1">
        <v>1.9783333333333333</v>
      </c>
      <c r="E397" s="1">
        <v>0.29699999999999999</v>
      </c>
      <c r="F397" s="1">
        <v>0.96533333333333327</v>
      </c>
      <c r="G397" s="15">
        <v>2.9369999999999998</v>
      </c>
    </row>
    <row r="398" spans="1:7" x14ac:dyDescent="0.35">
      <c r="A398" s="22">
        <v>30317</v>
      </c>
      <c r="B398" s="1">
        <v>4.6766666666666667</v>
      </c>
      <c r="C398" s="1">
        <v>0.109</v>
      </c>
      <c r="D398" s="1">
        <v>1.6673333333333333</v>
      </c>
      <c r="E398" s="1">
        <v>0.49</v>
      </c>
      <c r="F398" s="1">
        <v>1.2289999999999999</v>
      </c>
      <c r="G398" s="15">
        <v>2.1910000000000003</v>
      </c>
    </row>
    <row r="399" spans="1:7" x14ac:dyDescent="0.35">
      <c r="A399" s="22">
        <v>30348</v>
      </c>
      <c r="B399" s="1">
        <v>4.4886666666666661</v>
      </c>
      <c r="C399" s="1">
        <v>9.3000000000000013E-2</v>
      </c>
      <c r="D399" s="1">
        <v>2.9513333333333329</v>
      </c>
      <c r="E399" s="1">
        <v>0.311</v>
      </c>
      <c r="F399" s="1">
        <v>1.1636666666666666</v>
      </c>
      <c r="G399" s="15">
        <v>4.1336666666666666</v>
      </c>
    </row>
    <row r="400" spans="1:7" x14ac:dyDescent="0.35">
      <c r="A400" s="22">
        <v>30376</v>
      </c>
      <c r="B400" s="1">
        <v>5.4353333333333333</v>
      </c>
      <c r="C400" s="1">
        <v>9.2000000000000012E-2</v>
      </c>
      <c r="D400" s="1">
        <v>5.0346666666666664</v>
      </c>
      <c r="E400" s="1">
        <v>0.40199999999999997</v>
      </c>
      <c r="F400" s="1">
        <v>1.1193333333333333</v>
      </c>
      <c r="G400" s="15">
        <v>2.7983333333333333</v>
      </c>
    </row>
    <row r="401" spans="1:7" x14ac:dyDescent="0.35">
      <c r="A401" s="22">
        <v>30407</v>
      </c>
      <c r="B401" s="1">
        <v>7.8233333333333333</v>
      </c>
      <c r="C401" s="1">
        <v>7.0999999999999994E-2</v>
      </c>
      <c r="D401" s="1">
        <v>1.3126666666666666</v>
      </c>
      <c r="E401" s="1">
        <v>0.313</v>
      </c>
      <c r="F401" s="1">
        <v>0.52</v>
      </c>
      <c r="G401" s="15">
        <v>1.917</v>
      </c>
    </row>
    <row r="402" spans="1:7" x14ac:dyDescent="0.35">
      <c r="A402" s="22">
        <v>30437</v>
      </c>
      <c r="B402" s="1">
        <v>28.189333333333334</v>
      </c>
      <c r="C402" s="1">
        <v>0.17100000000000001</v>
      </c>
      <c r="D402" s="1">
        <v>0.88833333333333331</v>
      </c>
      <c r="E402" s="1">
        <v>0.18300000000000002</v>
      </c>
      <c r="F402" s="1">
        <v>0.40566666666666668</v>
      </c>
      <c r="G402" s="15">
        <v>2.1903333333333332</v>
      </c>
    </row>
    <row r="403" spans="1:7" x14ac:dyDescent="0.35">
      <c r="A403" s="22">
        <v>30468</v>
      </c>
      <c r="B403" s="1">
        <v>9.8856666666666673</v>
      </c>
      <c r="C403" s="1">
        <v>0.12066666666666666</v>
      </c>
      <c r="D403" s="1">
        <v>1.1723333333333332</v>
      </c>
      <c r="E403" s="1">
        <v>6.7000000000000004E-2</v>
      </c>
      <c r="F403" s="1">
        <v>0.57766666666666666</v>
      </c>
      <c r="G403" s="15">
        <v>3.2810000000000001</v>
      </c>
    </row>
    <row r="404" spans="1:7" x14ac:dyDescent="0.35">
      <c r="A404" s="22">
        <v>30498</v>
      </c>
      <c r="B404" s="1">
        <v>6.8473333333333342</v>
      </c>
      <c r="C404" s="1">
        <v>2.4466666666666668E-2</v>
      </c>
      <c r="D404" s="1">
        <v>0.57633333333333336</v>
      </c>
      <c r="E404" s="1">
        <v>0</v>
      </c>
      <c r="F404" s="1">
        <v>0.13</v>
      </c>
      <c r="G404" s="15">
        <v>1.4296666666666666</v>
      </c>
    </row>
    <row r="405" spans="1:7" x14ac:dyDescent="0.35">
      <c r="A405" s="22">
        <v>30529</v>
      </c>
      <c r="B405" s="1">
        <v>26.173333333333332</v>
      </c>
      <c r="C405" s="1">
        <v>3.6666666666666667E-2</v>
      </c>
      <c r="D405" s="1">
        <v>0.63833333333333331</v>
      </c>
      <c r="E405" s="1">
        <v>0</v>
      </c>
      <c r="F405" s="1">
        <v>8.666666666666667E-2</v>
      </c>
      <c r="G405" s="15">
        <v>4.3056666666666663</v>
      </c>
    </row>
    <row r="406" spans="1:7" x14ac:dyDescent="0.35">
      <c r="A406" s="22">
        <v>30560</v>
      </c>
      <c r="B406" s="1">
        <v>12.073</v>
      </c>
      <c r="C406" s="1">
        <v>6.0666666666666667E-2</v>
      </c>
      <c r="D406" s="1">
        <v>1.8376666666666666</v>
      </c>
      <c r="E406" s="1">
        <v>2.1946666666666665</v>
      </c>
      <c r="F406" s="1">
        <v>1.153</v>
      </c>
      <c r="G406" s="15">
        <v>1.222</v>
      </c>
    </row>
    <row r="407" spans="1:7" x14ac:dyDescent="0.35">
      <c r="A407" s="22">
        <v>30590</v>
      </c>
      <c r="B407" s="1">
        <v>17.593999999999998</v>
      </c>
      <c r="C407" s="1">
        <v>2.5166666666666666</v>
      </c>
      <c r="D407" s="1">
        <v>4.6853333333333333</v>
      </c>
      <c r="E407" s="1">
        <v>2.1906666666666665</v>
      </c>
      <c r="F407" s="1">
        <v>0.53666666666666674</v>
      </c>
      <c r="G407" s="15">
        <v>3.4066666666666667</v>
      </c>
    </row>
    <row r="408" spans="1:7" x14ac:dyDescent="0.35">
      <c r="A408" s="22">
        <v>30621</v>
      </c>
      <c r="B408" s="1">
        <v>17.164666666666665</v>
      </c>
      <c r="C408" s="1">
        <v>0.36833333333333335</v>
      </c>
      <c r="D408" s="1">
        <v>11.684333333333333</v>
      </c>
      <c r="E408" s="1">
        <v>2.8536666666666668</v>
      </c>
      <c r="F408" s="1">
        <v>0.501</v>
      </c>
      <c r="G408" s="15">
        <v>1.6403333333333334</v>
      </c>
    </row>
    <row r="409" spans="1:7" x14ac:dyDescent="0.35">
      <c r="A409" s="22">
        <v>30651</v>
      </c>
      <c r="B409" s="1">
        <v>6.2503333333333337</v>
      </c>
      <c r="C409" s="1">
        <v>0.12733333333333333</v>
      </c>
      <c r="D409" s="1">
        <v>5.4633333333333338</v>
      </c>
      <c r="E409" s="1">
        <v>1.0733333333333335</v>
      </c>
      <c r="F409" s="1">
        <v>0.54566666666666663</v>
      </c>
      <c r="G409" s="15">
        <v>0.64633333333333332</v>
      </c>
    </row>
    <row r="410" spans="1:7" x14ac:dyDescent="0.35">
      <c r="A410" s="22">
        <v>30682</v>
      </c>
      <c r="B410" s="1">
        <v>10.746</v>
      </c>
      <c r="C410" s="1">
        <v>0.19733333333333333</v>
      </c>
      <c r="D410" s="1">
        <v>2.895</v>
      </c>
      <c r="E410" s="1">
        <v>0.72599999999999998</v>
      </c>
      <c r="F410" s="1">
        <v>0.79833333333333334</v>
      </c>
      <c r="G410" s="15">
        <v>0.94933333333333325</v>
      </c>
    </row>
    <row r="411" spans="1:7" x14ac:dyDescent="0.35">
      <c r="A411" s="22">
        <v>30713</v>
      </c>
      <c r="B411" s="1">
        <v>13.855666666666666</v>
      </c>
      <c r="C411" s="1">
        <v>0.11966666666666666</v>
      </c>
      <c r="D411" s="1">
        <v>2.4466666666666668</v>
      </c>
      <c r="E411" s="1">
        <v>0.51466666666666672</v>
      </c>
      <c r="F411" s="1">
        <v>0.7639999999999999</v>
      </c>
      <c r="G411" s="15">
        <v>1.0766666666666667</v>
      </c>
    </row>
    <row r="412" spans="1:7" x14ac:dyDescent="0.35">
      <c r="A412" s="22">
        <v>30742</v>
      </c>
      <c r="B412" s="1">
        <v>8.0553333333333335</v>
      </c>
      <c r="C412" s="1">
        <v>0.112</v>
      </c>
      <c r="D412" s="1">
        <v>0.97433333333333338</v>
      </c>
      <c r="E412" s="1">
        <v>0.41766666666666663</v>
      </c>
      <c r="F412" s="1">
        <v>0.53400000000000003</v>
      </c>
      <c r="G412" s="15">
        <v>0.54466666666666663</v>
      </c>
    </row>
    <row r="413" spans="1:7" x14ac:dyDescent="0.35">
      <c r="A413" s="22">
        <v>30773</v>
      </c>
      <c r="B413" s="1">
        <v>4.8133333333333335</v>
      </c>
      <c r="C413" s="1">
        <v>9.6999999999999989E-2</v>
      </c>
      <c r="D413" s="1">
        <v>0.82433333333333325</v>
      </c>
      <c r="E413" s="1">
        <v>0.47633333333333333</v>
      </c>
      <c r="F413" s="1">
        <v>0.16666666666666666</v>
      </c>
      <c r="G413" s="15">
        <v>0.84</v>
      </c>
    </row>
    <row r="414" spans="1:7" x14ac:dyDescent="0.35">
      <c r="A414" s="22">
        <v>30803</v>
      </c>
      <c r="B414" s="1">
        <v>12.947333333333333</v>
      </c>
      <c r="C414" s="1">
        <v>1.2493333333333334</v>
      </c>
      <c r="D414" s="1">
        <v>6.4703333333333335</v>
      </c>
      <c r="E414" s="1">
        <v>2.0703333333333336</v>
      </c>
      <c r="F414" s="1">
        <v>0.31666666666666665</v>
      </c>
      <c r="G414" s="15">
        <v>21.239666666666668</v>
      </c>
    </row>
    <row r="415" spans="1:7" x14ac:dyDescent="0.35">
      <c r="A415" s="22">
        <v>30834</v>
      </c>
      <c r="B415" s="1">
        <v>52.363333333333337</v>
      </c>
      <c r="C415" s="1">
        <v>6.2666666666666662E-2</v>
      </c>
      <c r="D415" s="1">
        <v>4.9636666666666667</v>
      </c>
      <c r="E415" s="1">
        <v>0.17433333333333334</v>
      </c>
      <c r="F415" s="1">
        <v>4.5000000000000005E-2</v>
      </c>
      <c r="G415" s="15">
        <v>2.3896666666666664</v>
      </c>
    </row>
    <row r="416" spans="1:7" x14ac:dyDescent="0.35">
      <c r="A416" s="22">
        <v>30864</v>
      </c>
      <c r="B416" s="1">
        <v>33.428000000000004</v>
      </c>
      <c r="C416" s="1">
        <v>0.32400000000000001</v>
      </c>
      <c r="D416" s="1">
        <v>4.6506666666666669</v>
      </c>
      <c r="E416" s="1">
        <v>0.11766666666666666</v>
      </c>
      <c r="F416" s="1">
        <v>2.1599999999999998E-2</v>
      </c>
      <c r="G416" s="15">
        <v>0.5073333333333333</v>
      </c>
    </row>
    <row r="417" spans="1:7" x14ac:dyDescent="0.35">
      <c r="A417" s="22">
        <v>30895</v>
      </c>
      <c r="B417" s="1">
        <v>70.522666666666666</v>
      </c>
      <c r="C417" s="1">
        <v>3.4333333333333334E-2</v>
      </c>
      <c r="D417" s="1">
        <v>1.1496666666666666</v>
      </c>
      <c r="E417" s="1">
        <v>3.5999999999999997E-2</v>
      </c>
      <c r="F417" s="1">
        <v>8.0666666666666664E-3</v>
      </c>
      <c r="G417" s="15">
        <v>0.21733333333333335</v>
      </c>
    </row>
    <row r="418" spans="1:7" x14ac:dyDescent="0.35">
      <c r="A418" s="22">
        <v>30926</v>
      </c>
      <c r="B418" s="1">
        <v>27.233333333333334</v>
      </c>
      <c r="C418" s="1">
        <v>0.13466666666666668</v>
      </c>
      <c r="D418" s="1">
        <v>0.72233333333333327</v>
      </c>
      <c r="E418" s="1">
        <v>1.4400000000000001E-2</v>
      </c>
      <c r="F418" s="1">
        <v>1.21E-2</v>
      </c>
      <c r="G418" s="15">
        <v>4.8796666666666662</v>
      </c>
    </row>
    <row r="419" spans="1:7" x14ac:dyDescent="0.35">
      <c r="A419" s="22">
        <v>30956</v>
      </c>
      <c r="B419" s="1">
        <v>22.804000000000002</v>
      </c>
      <c r="C419" s="1">
        <v>0.12566666666666668</v>
      </c>
      <c r="D419" s="1">
        <v>6.9506666666666668</v>
      </c>
      <c r="E419" s="1">
        <v>7.0720000000000001</v>
      </c>
      <c r="F419" s="1">
        <v>2.3343333333333334</v>
      </c>
      <c r="G419" s="15">
        <v>4.1606666666666667</v>
      </c>
    </row>
    <row r="420" spans="1:7" x14ac:dyDescent="0.35">
      <c r="A420" s="22">
        <v>30987</v>
      </c>
      <c r="B420" s="1">
        <v>9.3780000000000001</v>
      </c>
      <c r="C420" s="1">
        <v>6.6333333333333341E-2</v>
      </c>
      <c r="D420" s="1">
        <v>2.4233333333333333</v>
      </c>
      <c r="E420" s="1">
        <v>0.255</v>
      </c>
      <c r="F420" s="1">
        <v>0.42433333333333328</v>
      </c>
      <c r="G420" s="15">
        <v>0.69066666666666665</v>
      </c>
    </row>
    <row r="421" spans="1:7" x14ac:dyDescent="0.35">
      <c r="A421" s="22">
        <v>31017</v>
      </c>
      <c r="B421" s="1">
        <v>10.213333333333333</v>
      </c>
      <c r="C421" s="1">
        <v>0.22566666666666668</v>
      </c>
      <c r="D421" s="1">
        <v>1.2216666666666667</v>
      </c>
      <c r="E421" s="1">
        <v>0.28466666666666668</v>
      </c>
      <c r="F421" s="1">
        <v>0.52566666666666662</v>
      </c>
      <c r="G421" s="15">
        <v>9.5333333333333325E-2</v>
      </c>
    </row>
    <row r="422" spans="1:7" x14ac:dyDescent="0.35">
      <c r="A422" s="22">
        <v>31048</v>
      </c>
      <c r="B422" s="1">
        <v>11.843000000000002</v>
      </c>
      <c r="C422" s="1">
        <v>0.23166666666666666</v>
      </c>
      <c r="D422" s="1">
        <v>4.266</v>
      </c>
      <c r="E422" s="1">
        <v>0.35600000000000004</v>
      </c>
      <c r="F422" s="1">
        <v>0.76433333333333342</v>
      </c>
      <c r="G422" s="15">
        <v>1.6769999999999998</v>
      </c>
    </row>
    <row r="423" spans="1:7" x14ac:dyDescent="0.35">
      <c r="A423" s="22">
        <v>31079</v>
      </c>
      <c r="B423" s="1">
        <v>10.952666666666666</v>
      </c>
      <c r="C423" s="1">
        <v>0.13166666666666668</v>
      </c>
      <c r="D423" s="1">
        <v>2.9266666666666663</v>
      </c>
      <c r="E423" s="1">
        <v>0.34866666666666668</v>
      </c>
      <c r="F423" s="1">
        <v>0.63</v>
      </c>
      <c r="G423" s="15">
        <v>0.28233333333333333</v>
      </c>
    </row>
    <row r="424" spans="1:7" x14ac:dyDescent="0.35">
      <c r="A424" s="22">
        <v>31107</v>
      </c>
      <c r="B424" s="1">
        <v>12.438666666666668</v>
      </c>
      <c r="C424" s="1">
        <v>0.11899999999999999</v>
      </c>
      <c r="D424" s="1">
        <v>1.194</v>
      </c>
      <c r="E424" s="1">
        <v>0.29966666666666669</v>
      </c>
      <c r="F424" s="1">
        <v>0.39100000000000001</v>
      </c>
      <c r="G424" s="15">
        <v>0</v>
      </c>
    </row>
    <row r="425" spans="1:7" x14ac:dyDescent="0.35">
      <c r="A425" s="22">
        <v>31138</v>
      </c>
      <c r="B425" s="1">
        <v>11.877333333333333</v>
      </c>
      <c r="C425" s="1">
        <v>0.9873333333333334</v>
      </c>
      <c r="D425" s="1">
        <v>2.1183333333333336</v>
      </c>
      <c r="E425" s="1">
        <v>0.14599999999999999</v>
      </c>
      <c r="F425" s="1">
        <v>0.73799999999999999</v>
      </c>
      <c r="G425" s="15">
        <v>10.413666666666666</v>
      </c>
    </row>
    <row r="426" spans="1:7" x14ac:dyDescent="0.35">
      <c r="A426" s="22">
        <v>31168</v>
      </c>
      <c r="B426" s="1">
        <v>14.575666666666665</v>
      </c>
      <c r="C426" s="1">
        <v>0.18000000000000002</v>
      </c>
      <c r="D426" s="1">
        <v>3.5003333333333333</v>
      </c>
      <c r="E426" s="1">
        <v>0.53033333333333332</v>
      </c>
      <c r="F426" s="1">
        <v>0.64433333333333331</v>
      </c>
      <c r="G426" s="15">
        <v>1.2883333333333333</v>
      </c>
    </row>
    <row r="427" spans="1:7" x14ac:dyDescent="0.35">
      <c r="A427" s="22">
        <v>31199</v>
      </c>
      <c r="B427" s="1">
        <v>12.095999999999998</v>
      </c>
      <c r="C427" s="1">
        <v>0.82366666666666666</v>
      </c>
      <c r="D427" s="1">
        <v>4.6486666666666663</v>
      </c>
      <c r="E427" s="1">
        <v>0.25733333333333336</v>
      </c>
      <c r="F427" s="1">
        <v>0.29533333333333334</v>
      </c>
      <c r="G427" s="15">
        <v>6.980666666666667</v>
      </c>
    </row>
    <row r="428" spans="1:7" x14ac:dyDescent="0.35">
      <c r="A428" s="22">
        <v>31229</v>
      </c>
      <c r="B428" s="1">
        <v>18.717000000000002</v>
      </c>
      <c r="C428" s="1">
        <v>1.0686666666666667</v>
      </c>
      <c r="D428" s="1">
        <v>6.0703333333333331</v>
      </c>
      <c r="E428" s="1">
        <v>0.19599999999999998</v>
      </c>
      <c r="F428" s="1">
        <v>6.9666666666666668E-2</v>
      </c>
      <c r="G428" s="15">
        <v>2.9039999999999999</v>
      </c>
    </row>
    <row r="429" spans="1:7" x14ac:dyDescent="0.35">
      <c r="A429" s="22">
        <v>31260</v>
      </c>
      <c r="B429" s="1">
        <v>21.721333333333334</v>
      </c>
      <c r="C429" s="1">
        <v>5.2666666666666667E-2</v>
      </c>
      <c r="D429" s="1">
        <v>1.782</v>
      </c>
      <c r="E429" s="1">
        <v>6.633333333333334E-3</v>
      </c>
      <c r="F429" s="1">
        <v>1.5266666666666666E-2</v>
      </c>
      <c r="G429" s="15">
        <v>0</v>
      </c>
    </row>
    <row r="430" spans="1:7" x14ac:dyDescent="0.35">
      <c r="A430" s="22">
        <v>31291</v>
      </c>
      <c r="B430" s="1">
        <v>40.95066666666667</v>
      </c>
      <c r="C430" s="1">
        <v>3.7333333333333336E-2</v>
      </c>
      <c r="D430" s="1">
        <v>4.6523333333333339</v>
      </c>
      <c r="E430" s="1">
        <v>1.8046666666666666</v>
      </c>
      <c r="F430" s="1">
        <v>1.3833333333333335E-2</v>
      </c>
      <c r="G430" s="15">
        <v>0.8836666666666666</v>
      </c>
    </row>
    <row r="431" spans="1:7" x14ac:dyDescent="0.35">
      <c r="A431" s="22">
        <v>31321</v>
      </c>
      <c r="B431" s="1">
        <v>40.055</v>
      </c>
      <c r="C431" s="1">
        <v>7.2666666666666671E-2</v>
      </c>
      <c r="D431" s="1">
        <v>6.4123333333333328</v>
      </c>
      <c r="E431" s="1">
        <v>3.2893333333333334</v>
      </c>
      <c r="F431" s="1">
        <v>1.534</v>
      </c>
      <c r="G431" s="15">
        <v>11.083666666666666</v>
      </c>
    </row>
    <row r="432" spans="1:7" x14ac:dyDescent="0.35">
      <c r="A432" s="22">
        <v>31352</v>
      </c>
      <c r="B432" s="1">
        <v>11.744666666666667</v>
      </c>
      <c r="C432" s="1">
        <v>6.0333333333333329E-2</v>
      </c>
      <c r="D432" s="1">
        <v>2.754</v>
      </c>
      <c r="E432" s="1">
        <v>2.1726666666666667</v>
      </c>
      <c r="F432" s="1">
        <v>0.74199999999999999</v>
      </c>
      <c r="G432" s="15">
        <v>2.1073333333333335</v>
      </c>
    </row>
    <row r="433" spans="1:7" x14ac:dyDescent="0.35">
      <c r="A433" s="22">
        <v>31382</v>
      </c>
      <c r="B433" s="1">
        <v>9.7373333333333338</v>
      </c>
      <c r="C433" s="1">
        <v>5.3666666666666668E-2</v>
      </c>
      <c r="D433" s="1">
        <v>1.3433333333333335</v>
      </c>
      <c r="E433" s="1">
        <v>0.99366666666666659</v>
      </c>
      <c r="F433" s="1">
        <v>0.78866666666666674</v>
      </c>
      <c r="G433" s="15">
        <v>7.6999999999999999E-2</v>
      </c>
    </row>
    <row r="434" spans="1:7" x14ac:dyDescent="0.35">
      <c r="A434" s="22">
        <v>31413</v>
      </c>
      <c r="B434" s="1">
        <v>9.3070000000000004</v>
      </c>
      <c r="C434" s="1">
        <v>9.9666666666666667E-2</v>
      </c>
      <c r="D434" s="1">
        <v>1.276</v>
      </c>
      <c r="E434" s="1">
        <v>0.251</v>
      </c>
      <c r="F434" s="1">
        <v>0.7556666666666666</v>
      </c>
      <c r="G434" s="15">
        <v>1.4400000000000001E-2</v>
      </c>
    </row>
    <row r="435" spans="1:7" x14ac:dyDescent="0.35">
      <c r="A435" s="22">
        <v>31444</v>
      </c>
      <c r="B435" s="1">
        <v>6.8813333333333331</v>
      </c>
      <c r="C435" s="1">
        <v>6.4666666666666664E-2</v>
      </c>
      <c r="D435" s="1">
        <v>0.90833333333333333</v>
      </c>
      <c r="E435" s="1">
        <v>0.6153333333333334</v>
      </c>
      <c r="F435" s="1">
        <v>0.53</v>
      </c>
      <c r="G435" s="15">
        <v>0</v>
      </c>
    </row>
    <row r="436" spans="1:7" x14ac:dyDescent="0.35">
      <c r="A436" s="22">
        <v>31472</v>
      </c>
      <c r="B436" s="1">
        <v>8.4779999999999998</v>
      </c>
      <c r="C436" s="1">
        <v>5.7333333333333326E-2</v>
      </c>
      <c r="D436" s="1">
        <v>0.84599999999999997</v>
      </c>
      <c r="E436" s="1">
        <v>0.40500000000000003</v>
      </c>
      <c r="F436" s="1">
        <v>0.43733333333333335</v>
      </c>
      <c r="G436" s="15">
        <v>0</v>
      </c>
    </row>
    <row r="437" spans="1:7" x14ac:dyDescent="0.35">
      <c r="A437" s="22">
        <v>31503</v>
      </c>
      <c r="B437" s="1">
        <v>6.6690000000000005</v>
      </c>
      <c r="C437" s="1">
        <v>7.2999999999999995E-2</v>
      </c>
      <c r="D437" s="1">
        <v>0.73499999999999999</v>
      </c>
      <c r="E437" s="1">
        <v>0.20766666666666667</v>
      </c>
      <c r="F437" s="1">
        <v>0.11933333333333333</v>
      </c>
      <c r="G437" s="15">
        <v>0.65966666666666673</v>
      </c>
    </row>
    <row r="438" spans="1:7" x14ac:dyDescent="0.35">
      <c r="A438" s="22">
        <v>31533</v>
      </c>
      <c r="B438" s="1">
        <v>9.0879999999999992</v>
      </c>
      <c r="C438" s="1">
        <v>0.51466666666666672</v>
      </c>
      <c r="D438" s="1">
        <v>2.2263333333333333</v>
      </c>
      <c r="E438" s="1">
        <v>0.15666666666666665</v>
      </c>
      <c r="F438" s="1">
        <v>0.38866666666666666</v>
      </c>
      <c r="G438" s="15">
        <v>6.1040000000000001</v>
      </c>
    </row>
    <row r="439" spans="1:7" x14ac:dyDescent="0.35">
      <c r="A439" s="22">
        <v>31564</v>
      </c>
      <c r="B439" s="1">
        <v>40.112666666666662</v>
      </c>
      <c r="C439" s="1">
        <v>1.6153333333333333</v>
      </c>
      <c r="D439" s="1">
        <v>6.3053333333333335</v>
      </c>
      <c r="E439" s="1">
        <v>7.79</v>
      </c>
      <c r="F439" s="1">
        <v>0.74199999999999999</v>
      </c>
      <c r="G439" s="15">
        <v>37.138333333333335</v>
      </c>
    </row>
    <row r="440" spans="1:7" x14ac:dyDescent="0.35">
      <c r="A440" s="22">
        <v>31594</v>
      </c>
      <c r="B440" s="1">
        <v>32.745666666666665</v>
      </c>
      <c r="C440" s="1">
        <v>6.9666666666666668E-2</v>
      </c>
      <c r="D440" s="1">
        <v>10.725</v>
      </c>
      <c r="E440" s="1">
        <v>4.7649999999999997</v>
      </c>
      <c r="F440" s="1">
        <v>0.37966666666666665</v>
      </c>
      <c r="G440" s="15">
        <v>0.41399999999999998</v>
      </c>
    </row>
    <row r="441" spans="1:7" x14ac:dyDescent="0.35">
      <c r="A441" s="22">
        <v>31625</v>
      </c>
      <c r="B441" s="1">
        <v>42.20366666666667</v>
      </c>
      <c r="C441" s="1">
        <v>3.3333333333333333E-2</v>
      </c>
      <c r="D441" s="1">
        <v>6.8873333333333333</v>
      </c>
      <c r="E441" s="1">
        <v>1.2866666666666666</v>
      </c>
      <c r="F441" s="1">
        <v>0.59233333333333327</v>
      </c>
      <c r="G441" s="15">
        <v>0</v>
      </c>
    </row>
    <row r="442" spans="1:7" x14ac:dyDescent="0.35">
      <c r="A442" s="22">
        <v>31656</v>
      </c>
      <c r="B442" s="1">
        <v>118.47466666666666</v>
      </c>
      <c r="C442" s="1">
        <v>0.32066666666666666</v>
      </c>
      <c r="D442" s="1">
        <v>11.515333333333333</v>
      </c>
      <c r="E442" s="1">
        <v>17.328666666666667</v>
      </c>
      <c r="F442" s="1">
        <v>12.356</v>
      </c>
      <c r="G442" s="15">
        <v>33.949666666666666</v>
      </c>
    </row>
    <row r="443" spans="1:7" x14ac:dyDescent="0.35">
      <c r="A443" s="22">
        <v>31686</v>
      </c>
      <c r="B443" s="1">
        <v>36.270666666666664</v>
      </c>
      <c r="C443" s="1">
        <v>2.0403333333333333</v>
      </c>
      <c r="D443" s="1">
        <v>18.734333333333336</v>
      </c>
      <c r="E443" s="1">
        <v>16.920999999999999</v>
      </c>
      <c r="F443" s="1">
        <v>11.767333333333333</v>
      </c>
      <c r="G443" s="15">
        <v>1.4589999999999999</v>
      </c>
    </row>
    <row r="444" spans="1:7" x14ac:dyDescent="0.35">
      <c r="A444" s="22">
        <v>31717</v>
      </c>
      <c r="B444" s="1">
        <v>11.972</v>
      </c>
      <c r="C444" s="1">
        <v>0.23366666666666666</v>
      </c>
      <c r="D444" s="1">
        <v>11.955</v>
      </c>
      <c r="E444" s="1">
        <v>10.256333333333332</v>
      </c>
      <c r="F444" s="1">
        <v>7.9039999999999999</v>
      </c>
      <c r="G444" s="15">
        <v>0.87766666666666671</v>
      </c>
    </row>
    <row r="445" spans="1:7" x14ac:dyDescent="0.35">
      <c r="A445" s="22">
        <v>31747</v>
      </c>
      <c r="B445" s="1">
        <v>14.584333333333333</v>
      </c>
      <c r="C445" s="1">
        <v>0.29533333333333334</v>
      </c>
      <c r="D445" s="1">
        <v>10.754</v>
      </c>
      <c r="E445" s="1">
        <v>7.5249999999999995</v>
      </c>
      <c r="F445" s="1">
        <v>6.4329999999999998</v>
      </c>
      <c r="G445" s="15">
        <v>0.22766666666666668</v>
      </c>
    </row>
    <row r="446" spans="1:7" x14ac:dyDescent="0.35">
      <c r="A446" s="22">
        <v>31778</v>
      </c>
      <c r="B446" s="1">
        <v>5.6690000000000005</v>
      </c>
      <c r="C446" s="1">
        <v>0.28899999999999998</v>
      </c>
      <c r="D446" s="1">
        <v>9.0043333333333333</v>
      </c>
      <c r="E446" s="1">
        <v>4.9013333333333335</v>
      </c>
      <c r="F446" s="1">
        <v>6.03</v>
      </c>
      <c r="G446" s="15">
        <v>0.30199999999999999</v>
      </c>
    </row>
    <row r="447" spans="1:7" x14ac:dyDescent="0.35">
      <c r="A447" s="22">
        <v>31809</v>
      </c>
      <c r="B447" s="1">
        <v>8.3613333333333326</v>
      </c>
      <c r="C447" s="1">
        <v>0.26533333333333337</v>
      </c>
      <c r="D447" s="1">
        <v>8.4526666666666674</v>
      </c>
      <c r="E447" s="1">
        <v>3.8143333333333334</v>
      </c>
      <c r="F447" s="1">
        <v>4.4333333333333336</v>
      </c>
      <c r="G447" s="15">
        <v>2.2163333333333335</v>
      </c>
    </row>
    <row r="448" spans="1:7" x14ac:dyDescent="0.35">
      <c r="A448" s="22">
        <v>31837</v>
      </c>
      <c r="B448" s="1">
        <v>35.582333333333331</v>
      </c>
      <c r="C448" s="1">
        <v>0.21866666666666668</v>
      </c>
      <c r="D448" s="1">
        <v>8.0163333333333338</v>
      </c>
      <c r="E448" s="1">
        <v>3.2176666666666667</v>
      </c>
      <c r="F448" s="1">
        <v>4.137666666666667</v>
      </c>
      <c r="G448" s="15">
        <v>1.0133333333333334</v>
      </c>
    </row>
    <row r="449" spans="1:7" x14ac:dyDescent="0.35">
      <c r="A449" s="22">
        <v>31868</v>
      </c>
      <c r="B449" s="1">
        <v>32.592999999999996</v>
      </c>
      <c r="C449" s="1">
        <v>0.43766666666666665</v>
      </c>
      <c r="D449" s="1">
        <v>6.1373333333333333</v>
      </c>
      <c r="E449" s="1">
        <v>2.1213333333333333</v>
      </c>
      <c r="F449" s="1">
        <v>3.1236666666666668</v>
      </c>
      <c r="G449" s="15">
        <v>1.0383333333333333</v>
      </c>
    </row>
    <row r="450" spans="1:7" x14ac:dyDescent="0.35">
      <c r="A450" s="22">
        <v>31898</v>
      </c>
      <c r="B450" s="1">
        <v>29.954999999999998</v>
      </c>
      <c r="C450" s="1">
        <v>0.61899999999999999</v>
      </c>
      <c r="D450" s="1">
        <v>11.098666666666666</v>
      </c>
      <c r="E450" s="1">
        <v>5.6360000000000001</v>
      </c>
      <c r="F450" s="1">
        <v>4.1423333333333332</v>
      </c>
      <c r="G450" s="15">
        <v>5.1456666666666662</v>
      </c>
    </row>
    <row r="451" spans="1:7" x14ac:dyDescent="0.35">
      <c r="A451" s="22">
        <v>31929</v>
      </c>
      <c r="B451" s="1">
        <v>31.406333333333333</v>
      </c>
      <c r="C451" s="1">
        <v>3.1776666666666666</v>
      </c>
      <c r="D451" s="1">
        <v>24.209333333333333</v>
      </c>
      <c r="E451" s="1">
        <v>42.408000000000001</v>
      </c>
      <c r="F451" s="1">
        <v>10.629333333333333</v>
      </c>
      <c r="G451" s="15">
        <v>5.1640000000000006</v>
      </c>
    </row>
    <row r="452" spans="1:7" x14ac:dyDescent="0.35">
      <c r="A452" s="22">
        <v>31959</v>
      </c>
      <c r="B452" s="1">
        <v>33.209333333333333</v>
      </c>
      <c r="C452" s="1">
        <v>0.27366666666666667</v>
      </c>
      <c r="D452" s="1">
        <v>16.442</v>
      </c>
      <c r="E452" s="1">
        <v>37.903666666666666</v>
      </c>
      <c r="F452" s="1">
        <v>10.898000000000001</v>
      </c>
      <c r="G452" s="15">
        <v>1.5193333333333332</v>
      </c>
    </row>
    <row r="453" spans="1:7" x14ac:dyDescent="0.35">
      <c r="A453" s="22">
        <v>31990</v>
      </c>
      <c r="B453" s="1">
        <v>46.062666666666665</v>
      </c>
      <c r="C453" s="1">
        <v>0.18100000000000002</v>
      </c>
      <c r="D453" s="1">
        <v>13.118333333333332</v>
      </c>
      <c r="E453" s="1">
        <v>10.625</v>
      </c>
      <c r="F453" s="1">
        <v>8.895999999999999</v>
      </c>
      <c r="G453" s="15">
        <v>2.1296666666666666</v>
      </c>
    </row>
    <row r="454" spans="1:7" x14ac:dyDescent="0.35">
      <c r="A454" s="22">
        <v>32021</v>
      </c>
      <c r="B454" s="1">
        <v>26.383666666666667</v>
      </c>
      <c r="C454" s="1">
        <v>0.21299999999999999</v>
      </c>
      <c r="D454" s="1">
        <v>12.979999999999999</v>
      </c>
      <c r="E454" s="1">
        <v>18.214000000000002</v>
      </c>
      <c r="F454" s="1">
        <v>8.3160000000000007</v>
      </c>
      <c r="G454" s="15">
        <v>4.5599999999999996</v>
      </c>
    </row>
    <row r="455" spans="1:7" x14ac:dyDescent="0.35">
      <c r="A455" s="22">
        <v>32051</v>
      </c>
      <c r="B455" s="1">
        <v>30.971666666666668</v>
      </c>
      <c r="C455" s="1">
        <v>0.16633333333333333</v>
      </c>
      <c r="D455" s="1">
        <v>11.756</v>
      </c>
      <c r="E455" s="1">
        <v>8.5856666666666666</v>
      </c>
      <c r="F455" s="1">
        <v>6.8216666666666663</v>
      </c>
      <c r="G455" s="15">
        <v>1.952</v>
      </c>
    </row>
    <row r="456" spans="1:7" x14ac:dyDescent="0.35">
      <c r="A456" s="22">
        <v>32082</v>
      </c>
      <c r="B456" s="1">
        <v>10.756333333333332</v>
      </c>
      <c r="C456" s="1">
        <v>0.18100000000000002</v>
      </c>
      <c r="D456" s="1">
        <v>9.7230000000000008</v>
      </c>
      <c r="E456" s="1">
        <v>6.4933333333333332</v>
      </c>
      <c r="F456" s="1">
        <v>5.1290000000000004</v>
      </c>
      <c r="G456" s="15">
        <v>1.1213333333333333</v>
      </c>
    </row>
    <row r="457" spans="1:7" x14ac:dyDescent="0.35">
      <c r="A457" s="22">
        <v>32112</v>
      </c>
      <c r="B457" s="1">
        <v>9.1883333333333344</v>
      </c>
      <c r="C457" s="1">
        <v>0.255</v>
      </c>
      <c r="D457" s="1">
        <v>8.5586666666666655</v>
      </c>
      <c r="E457" s="1">
        <v>5.8903333333333334</v>
      </c>
      <c r="F457" s="1">
        <v>4.1093333333333328</v>
      </c>
      <c r="G457" s="15">
        <v>0.6193333333333334</v>
      </c>
    </row>
    <row r="458" spans="1:7" x14ac:dyDescent="0.35">
      <c r="A458" s="22">
        <v>32143</v>
      </c>
      <c r="B458" s="1">
        <v>8.0886666666666667</v>
      </c>
      <c r="C458" s="1">
        <v>0.28066666666666668</v>
      </c>
      <c r="D458" s="1">
        <v>6.7283333333333326</v>
      </c>
      <c r="E458" s="1">
        <v>4.9313333333333338</v>
      </c>
      <c r="F458" s="1">
        <v>3.5063333333333335</v>
      </c>
      <c r="G458" s="15">
        <v>0.86366666666666669</v>
      </c>
    </row>
    <row r="459" spans="1:7" x14ac:dyDescent="0.35">
      <c r="A459" s="22">
        <v>32174</v>
      </c>
      <c r="B459" s="1">
        <v>7.6090000000000009</v>
      </c>
      <c r="C459" s="1">
        <v>0.26366666666666666</v>
      </c>
      <c r="D459" s="1">
        <v>4.6313333333333331</v>
      </c>
      <c r="E459" s="1">
        <v>3.7883333333333336</v>
      </c>
      <c r="F459" s="1">
        <v>2.4929999999999999</v>
      </c>
      <c r="G459" s="15">
        <v>0.77366666666666672</v>
      </c>
    </row>
    <row r="460" spans="1:7" x14ac:dyDescent="0.35">
      <c r="A460" s="22">
        <v>32203</v>
      </c>
      <c r="B460" s="1">
        <v>5.6853333333333333</v>
      </c>
      <c r="C460" s="1">
        <v>0.25166666666666665</v>
      </c>
      <c r="D460" s="1">
        <v>2.895</v>
      </c>
      <c r="E460" s="1">
        <v>1.7893333333333334</v>
      </c>
      <c r="F460" s="1">
        <v>1.8983333333333334</v>
      </c>
      <c r="G460" s="15">
        <v>0.32300000000000001</v>
      </c>
    </row>
    <row r="461" spans="1:7" x14ac:dyDescent="0.35">
      <c r="A461" s="22">
        <v>32234</v>
      </c>
      <c r="B461" s="1">
        <v>6.2556666666666665</v>
      </c>
      <c r="C461" s="1">
        <v>0.17733333333333334</v>
      </c>
      <c r="D461" s="1">
        <v>1.5570000000000002</v>
      </c>
      <c r="E461" s="1">
        <v>1.2169999999999999</v>
      </c>
      <c r="F461" s="1">
        <v>1.2616666666666667</v>
      </c>
      <c r="G461" s="15">
        <v>0.68233333333333335</v>
      </c>
    </row>
    <row r="462" spans="1:7" x14ac:dyDescent="0.35">
      <c r="A462" s="22">
        <v>32264</v>
      </c>
      <c r="B462" s="1">
        <v>10.807666666666668</v>
      </c>
      <c r="C462" s="1">
        <v>8.8000000000000009E-2</v>
      </c>
      <c r="D462" s="1">
        <v>1.4029999999999998</v>
      </c>
      <c r="E462" s="1">
        <v>1.298</v>
      </c>
      <c r="F462" s="1">
        <v>0.96</v>
      </c>
      <c r="G462" s="15">
        <v>3.3423333333333329</v>
      </c>
    </row>
    <row r="463" spans="1:7" x14ac:dyDescent="0.35">
      <c r="A463" s="22">
        <v>32295</v>
      </c>
      <c r="B463" s="1">
        <v>25.119333333333334</v>
      </c>
      <c r="C463" s="1">
        <v>6.7333333333333342E-2</v>
      </c>
      <c r="D463" s="1">
        <v>1.3726666666666667</v>
      </c>
      <c r="E463" s="1">
        <v>0.49399999999999999</v>
      </c>
      <c r="F463" s="1">
        <v>0.89100000000000001</v>
      </c>
      <c r="G463" s="15">
        <v>11.651000000000002</v>
      </c>
    </row>
    <row r="464" spans="1:7" x14ac:dyDescent="0.35">
      <c r="A464" s="22">
        <v>32325</v>
      </c>
      <c r="B464" s="1">
        <v>44.415333333333336</v>
      </c>
      <c r="C464" s="1">
        <v>0.23866666666666667</v>
      </c>
      <c r="D464" s="1">
        <v>3.2723333333333335</v>
      </c>
      <c r="E464" s="1">
        <v>2.6693333333333329</v>
      </c>
      <c r="F464" s="1">
        <v>0.74733333333333329</v>
      </c>
      <c r="G464" s="15">
        <v>3.6043333333333334</v>
      </c>
    </row>
    <row r="465" spans="1:7" x14ac:dyDescent="0.35">
      <c r="A465" s="22">
        <v>32356</v>
      </c>
      <c r="B465" s="1">
        <v>67.668333333333337</v>
      </c>
      <c r="C465" s="1">
        <v>8.3333333333333329E-2</v>
      </c>
      <c r="D465" s="1">
        <v>6.4736666666666665</v>
      </c>
      <c r="E465" s="1">
        <v>8.5063333333333322</v>
      </c>
      <c r="F465" s="1">
        <v>1.617</v>
      </c>
      <c r="G465" s="15">
        <v>8.4276666666666671</v>
      </c>
    </row>
    <row r="466" spans="1:7" x14ac:dyDescent="0.35">
      <c r="A466" s="22">
        <v>32387</v>
      </c>
      <c r="B466" s="1">
        <v>37.615666666666662</v>
      </c>
      <c r="C466" s="1">
        <v>0.51100000000000001</v>
      </c>
      <c r="D466" s="1">
        <v>10.882</v>
      </c>
      <c r="E466" s="1">
        <v>21.725333333333335</v>
      </c>
      <c r="F466" s="1">
        <v>3.3613333333333331</v>
      </c>
      <c r="G466" s="15">
        <v>159.25633333333334</v>
      </c>
    </row>
    <row r="467" spans="1:7" x14ac:dyDescent="0.35">
      <c r="A467" s="22">
        <v>32417</v>
      </c>
      <c r="B467" s="1">
        <v>22.890333333333334</v>
      </c>
      <c r="C467" s="1">
        <v>0.157</v>
      </c>
      <c r="D467" s="1">
        <v>14.025666666666666</v>
      </c>
      <c r="E467" s="1">
        <v>9.4576666666666664</v>
      </c>
      <c r="F467" s="1">
        <v>4.57</v>
      </c>
      <c r="G467" s="15">
        <v>70.346999999999994</v>
      </c>
    </row>
    <row r="468" spans="1:7" x14ac:dyDescent="0.35">
      <c r="A468" s="22">
        <v>32448</v>
      </c>
      <c r="B468" s="1">
        <v>19.413999999999998</v>
      </c>
      <c r="C468" s="1">
        <v>0.122</v>
      </c>
      <c r="D468" s="1">
        <v>9.6896666666666658</v>
      </c>
      <c r="E468" s="1">
        <v>6.3533333333333326</v>
      </c>
      <c r="F468" s="1">
        <v>3.6966666666666668</v>
      </c>
      <c r="G468" s="15">
        <v>32.582999999999998</v>
      </c>
    </row>
    <row r="469" spans="1:7" x14ac:dyDescent="0.35">
      <c r="A469" s="22">
        <v>32478</v>
      </c>
      <c r="B469" s="1">
        <v>11.997999999999999</v>
      </c>
      <c r="C469" s="1">
        <v>0.16200000000000001</v>
      </c>
      <c r="D469" s="1">
        <v>7.3723333333333336</v>
      </c>
      <c r="E469" s="1">
        <v>5.1323333333333334</v>
      </c>
      <c r="F469" s="1">
        <v>3.2029999999999998</v>
      </c>
      <c r="G469" s="15">
        <v>5.4613333333333332</v>
      </c>
    </row>
    <row r="470" spans="1:7" x14ac:dyDescent="0.35">
      <c r="A470" s="22">
        <v>32509</v>
      </c>
      <c r="B470" s="1">
        <v>10.529333333333334</v>
      </c>
      <c r="C470" s="1">
        <v>0.21033333333333334</v>
      </c>
      <c r="D470" s="1">
        <v>4.7503333333333329</v>
      </c>
      <c r="E470" s="1">
        <v>4.2779999999999996</v>
      </c>
      <c r="F470" s="1">
        <v>2.8556666666666666</v>
      </c>
      <c r="G470" s="15">
        <v>4.2589999999999995</v>
      </c>
    </row>
    <row r="471" spans="1:7" x14ac:dyDescent="0.35">
      <c r="A471" s="22">
        <v>32540</v>
      </c>
      <c r="B471" s="1">
        <v>10.863333333333335</v>
      </c>
      <c r="C471" s="1">
        <v>0.16500000000000001</v>
      </c>
      <c r="D471" s="1">
        <v>3.097</v>
      </c>
      <c r="E471" s="1">
        <v>3.5630000000000002</v>
      </c>
      <c r="F471" s="1">
        <v>2.5213333333333332</v>
      </c>
      <c r="G471" s="15">
        <v>3.7473333333333336</v>
      </c>
    </row>
    <row r="472" spans="1:7" x14ac:dyDescent="0.35">
      <c r="A472" s="22">
        <v>32568</v>
      </c>
      <c r="B472" s="1">
        <v>7.9746666666666668</v>
      </c>
      <c r="C472" s="1">
        <v>0.22900000000000001</v>
      </c>
      <c r="D472" s="1">
        <v>2.1673333333333331</v>
      </c>
      <c r="E472" s="1">
        <v>3.0966666666666662</v>
      </c>
      <c r="F472" s="1">
        <v>1.7643333333333333</v>
      </c>
      <c r="G472" s="15">
        <v>3.0990000000000002</v>
      </c>
    </row>
    <row r="473" spans="1:7" x14ac:dyDescent="0.35">
      <c r="A473" s="22">
        <v>32599</v>
      </c>
      <c r="B473" s="1">
        <v>5.8836666666666666</v>
      </c>
      <c r="C473" s="1">
        <v>0.13766666666666666</v>
      </c>
      <c r="D473" s="1">
        <v>1.6830000000000001</v>
      </c>
      <c r="E473" s="1">
        <v>2.2986666666666666</v>
      </c>
      <c r="F473" s="1">
        <v>1.294</v>
      </c>
      <c r="G473" s="15">
        <v>2.9996666666666667</v>
      </c>
    </row>
    <row r="474" spans="1:7" x14ac:dyDescent="0.35">
      <c r="A474" s="22">
        <v>32629</v>
      </c>
      <c r="B474" s="1">
        <v>10.290333333333333</v>
      </c>
      <c r="C474" s="1">
        <v>7.9666666666666663E-2</v>
      </c>
      <c r="D474" s="1">
        <v>4.05</v>
      </c>
      <c r="E474" s="1">
        <v>0.87</v>
      </c>
      <c r="F474" s="1">
        <v>1.3096666666666665</v>
      </c>
      <c r="G474" s="15">
        <v>2.0569999999999999</v>
      </c>
    </row>
    <row r="475" spans="1:7" x14ac:dyDescent="0.35">
      <c r="A475" s="22">
        <v>32660</v>
      </c>
      <c r="B475" s="1">
        <v>9.2230000000000008</v>
      </c>
      <c r="C475" s="1">
        <v>4.6999999999999993E-2</v>
      </c>
      <c r="D475" s="1">
        <v>0.98799999999999999</v>
      </c>
      <c r="E475" s="1">
        <v>0.18033333333333335</v>
      </c>
      <c r="F475" s="1">
        <v>0.84066666666666656</v>
      </c>
      <c r="G475" s="15">
        <v>2.6030000000000002</v>
      </c>
    </row>
    <row r="476" spans="1:7" x14ac:dyDescent="0.35">
      <c r="A476" s="22">
        <v>32690</v>
      </c>
      <c r="B476" s="1">
        <v>12.840333333333334</v>
      </c>
      <c r="C476" s="1">
        <v>3.4999999999999996E-2</v>
      </c>
      <c r="D476" s="1">
        <v>0.872</v>
      </c>
      <c r="E476" s="1">
        <v>4.9666666666666665E-2</v>
      </c>
      <c r="F476" s="1">
        <v>0.4366666666666667</v>
      </c>
      <c r="G476" s="15">
        <v>2.4406666666666665</v>
      </c>
    </row>
    <row r="477" spans="1:7" x14ac:dyDescent="0.35">
      <c r="A477" s="22">
        <v>32721</v>
      </c>
      <c r="B477" s="1">
        <v>35.706333333333333</v>
      </c>
      <c r="C477" s="1">
        <v>3.1966666666666664E-2</v>
      </c>
      <c r="D477" s="1">
        <v>1.1636666666666666</v>
      </c>
      <c r="E477" s="1">
        <v>0.21333333333333335</v>
      </c>
      <c r="F477" s="1">
        <v>0.41466666666666668</v>
      </c>
      <c r="G477" s="15">
        <v>2.6123333333333334</v>
      </c>
    </row>
    <row r="478" spans="1:7" x14ac:dyDescent="0.35">
      <c r="A478" s="22">
        <v>32752</v>
      </c>
      <c r="B478" s="1">
        <v>25.136666666666667</v>
      </c>
      <c r="C478" s="1">
        <v>1.2313333333333334</v>
      </c>
      <c r="D478" s="1">
        <v>1.0973333333333333</v>
      </c>
      <c r="E478" s="1">
        <v>0</v>
      </c>
      <c r="F478" s="1">
        <v>0.33366666666666661</v>
      </c>
      <c r="G478" s="15">
        <v>4.5110000000000001</v>
      </c>
    </row>
    <row r="479" spans="1:7" x14ac:dyDescent="0.35">
      <c r="A479" s="22">
        <v>32782</v>
      </c>
      <c r="B479" s="1">
        <v>25.92</v>
      </c>
      <c r="C479" s="1">
        <v>7.0999999999999994E-2</v>
      </c>
      <c r="D479" s="1">
        <v>0.94</v>
      </c>
      <c r="E479" s="1">
        <v>0.4976666666666667</v>
      </c>
      <c r="F479" s="1">
        <v>0.55166666666666664</v>
      </c>
      <c r="G479" s="15">
        <v>2.4216666666666664</v>
      </c>
    </row>
    <row r="480" spans="1:7" x14ac:dyDescent="0.35">
      <c r="A480" s="22">
        <v>32813</v>
      </c>
      <c r="B480" s="1">
        <v>10.459666666666667</v>
      </c>
      <c r="C480" s="1">
        <v>6.4666666666666664E-2</v>
      </c>
      <c r="D480" s="1">
        <v>0.84500000000000008</v>
      </c>
      <c r="E480" s="1">
        <v>0</v>
      </c>
      <c r="F480" s="1">
        <v>0.61466666666666669</v>
      </c>
      <c r="G480" s="15">
        <v>1.276</v>
      </c>
    </row>
    <row r="481" spans="1:7" x14ac:dyDescent="0.35">
      <c r="A481" s="22">
        <v>32843</v>
      </c>
      <c r="B481" s="1">
        <v>7.6206666666666658</v>
      </c>
      <c r="C481" s="1">
        <v>7.0333333333333331E-2</v>
      </c>
      <c r="D481" s="1">
        <v>1.0843333333333334</v>
      </c>
      <c r="E481" s="1">
        <v>8.0666666666666664E-3</v>
      </c>
      <c r="F481" s="1">
        <v>0.6243333333333333</v>
      </c>
      <c r="G481" s="15">
        <v>2.02</v>
      </c>
    </row>
    <row r="482" spans="1:7" x14ac:dyDescent="0.35">
      <c r="A482" s="22">
        <v>32874</v>
      </c>
      <c r="B482" s="1">
        <v>5.4193333333333333</v>
      </c>
      <c r="C482" s="1">
        <v>7.4666666666666673E-2</v>
      </c>
      <c r="D482" s="1">
        <v>0.97766666666666657</v>
      </c>
      <c r="E482" s="1">
        <v>0</v>
      </c>
      <c r="F482" s="1">
        <v>0.7496666666666667</v>
      </c>
      <c r="G482" s="15">
        <v>1.0286666666666666</v>
      </c>
    </row>
    <row r="483" spans="1:7" x14ac:dyDescent="0.35">
      <c r="A483" s="22">
        <v>32905</v>
      </c>
      <c r="B483" s="1">
        <v>15.494</v>
      </c>
      <c r="C483" s="1">
        <v>8.0333333333333326E-2</v>
      </c>
      <c r="D483" s="1">
        <v>0.97533333333333339</v>
      </c>
      <c r="E483" s="1">
        <v>0.34699999999999998</v>
      </c>
      <c r="F483" s="1">
        <v>0.7453333333333334</v>
      </c>
      <c r="G483" s="15">
        <v>1.8089999999999999</v>
      </c>
    </row>
    <row r="484" spans="1:7" x14ac:dyDescent="0.35">
      <c r="A484" s="22">
        <v>32933</v>
      </c>
      <c r="B484" s="1">
        <v>16.421666666666667</v>
      </c>
      <c r="C484" s="1">
        <v>1.0713333333333332</v>
      </c>
      <c r="D484" s="1">
        <v>1.1843333333333332</v>
      </c>
      <c r="E484" s="1">
        <v>1.2966666666666666E-2</v>
      </c>
      <c r="F484" s="1">
        <v>0.97400000000000009</v>
      </c>
      <c r="G484" s="15">
        <v>1.9346666666666668</v>
      </c>
    </row>
    <row r="485" spans="1:7" x14ac:dyDescent="0.35">
      <c r="A485" s="22">
        <v>32964</v>
      </c>
      <c r="B485" s="1">
        <v>8.4403333333333332</v>
      </c>
      <c r="C485" s="1">
        <v>1.4843333333333335</v>
      </c>
      <c r="D485" s="1">
        <v>7.1536666666666662</v>
      </c>
      <c r="E485" s="1">
        <v>15.554333333333332</v>
      </c>
      <c r="F485" s="1">
        <v>1.2013333333333334</v>
      </c>
      <c r="G485" s="15">
        <v>1.8216666666666665</v>
      </c>
    </row>
    <row r="486" spans="1:7" x14ac:dyDescent="0.35">
      <c r="A486" s="22">
        <v>32994</v>
      </c>
      <c r="B486" s="1">
        <v>8.2876666666666665</v>
      </c>
      <c r="C486" s="1">
        <v>0.24833333333333332</v>
      </c>
      <c r="D486" s="1">
        <v>5.1343333333333332</v>
      </c>
      <c r="E486" s="1">
        <v>1.2433333333333334</v>
      </c>
      <c r="F486" s="1">
        <v>0.81733333333333336</v>
      </c>
      <c r="G486" s="15">
        <v>1.5693333333333335</v>
      </c>
    </row>
    <row r="487" spans="1:7" x14ac:dyDescent="0.35">
      <c r="A487" s="22">
        <v>33025</v>
      </c>
      <c r="B487" s="1">
        <v>5.9313333333333338</v>
      </c>
      <c r="C487" s="1">
        <v>8.1666666666666665E-2</v>
      </c>
      <c r="D487" s="1">
        <v>1.091</v>
      </c>
      <c r="E487" s="1">
        <v>0.35299999999999998</v>
      </c>
      <c r="F487" s="1">
        <v>0.253</v>
      </c>
      <c r="G487" s="15">
        <v>1.4123333333333334</v>
      </c>
    </row>
    <row r="488" spans="1:7" x14ac:dyDescent="0.35">
      <c r="A488" s="22">
        <v>33055</v>
      </c>
      <c r="B488" s="1">
        <v>42.006666666666668</v>
      </c>
      <c r="C488" s="1">
        <v>0.53433333333333333</v>
      </c>
      <c r="D488" s="1">
        <v>9.7590000000000003</v>
      </c>
      <c r="E488" s="1">
        <v>13.124666666666668</v>
      </c>
      <c r="F488" s="1">
        <v>1.8603333333333334</v>
      </c>
      <c r="G488" s="15">
        <v>12.067333333333332</v>
      </c>
    </row>
    <row r="489" spans="1:7" x14ac:dyDescent="0.35">
      <c r="A489" s="22">
        <v>33086</v>
      </c>
      <c r="B489" s="1">
        <v>236.19466666666665</v>
      </c>
      <c r="C489" s="1">
        <v>0.14699999999999999</v>
      </c>
      <c r="D489" s="1">
        <v>8.7543333333333333</v>
      </c>
      <c r="E489" s="1">
        <v>2.6019999999999999</v>
      </c>
      <c r="F489" s="1">
        <v>0.71766666666666667</v>
      </c>
      <c r="G489" s="15">
        <v>3.7983333333333333</v>
      </c>
    </row>
    <row r="490" spans="1:7" x14ac:dyDescent="0.35">
      <c r="A490" s="22">
        <v>33117</v>
      </c>
      <c r="B490" s="1">
        <v>145.846</v>
      </c>
      <c r="C490" s="1">
        <v>2.4263333333333335</v>
      </c>
      <c r="D490" s="1">
        <v>15.327</v>
      </c>
      <c r="E490" s="1">
        <v>19.597999999999999</v>
      </c>
      <c r="F490" s="1">
        <v>1.6103333333333334</v>
      </c>
      <c r="G490" s="15">
        <v>3.1996666666666669</v>
      </c>
    </row>
    <row r="491" spans="1:7" x14ac:dyDescent="0.35">
      <c r="A491" s="22">
        <v>33147</v>
      </c>
      <c r="B491" s="1">
        <v>156.31766666666667</v>
      </c>
      <c r="C491" s="1">
        <v>0.435</v>
      </c>
      <c r="D491" s="1">
        <v>15.051</v>
      </c>
      <c r="E491" s="1">
        <v>26.821333333333332</v>
      </c>
      <c r="F491" s="1">
        <v>3.4606666666666666</v>
      </c>
      <c r="G491" s="15">
        <v>2.4550000000000001</v>
      </c>
    </row>
    <row r="492" spans="1:7" x14ac:dyDescent="0.35">
      <c r="A492" s="22">
        <v>33178</v>
      </c>
      <c r="B492" s="1">
        <v>52.050333333333334</v>
      </c>
      <c r="C492" s="1">
        <v>0.20699999999999999</v>
      </c>
      <c r="D492" s="1">
        <v>10.459999999999999</v>
      </c>
      <c r="E492" s="1">
        <v>10.848999999999998</v>
      </c>
      <c r="F492" s="1">
        <v>2.512</v>
      </c>
      <c r="G492" s="15">
        <v>0.68233333333333335</v>
      </c>
    </row>
    <row r="493" spans="1:7" x14ac:dyDescent="0.35">
      <c r="A493" s="22">
        <v>33208</v>
      </c>
      <c r="B493" s="1">
        <v>6.9003333333333332</v>
      </c>
      <c r="C493" s="1">
        <v>0.19666666666666666</v>
      </c>
      <c r="D493" s="1">
        <v>7.9619999999999997</v>
      </c>
      <c r="E493" s="1">
        <v>8.6643333333333334</v>
      </c>
      <c r="F493" s="1">
        <v>2.2173333333333334</v>
      </c>
      <c r="G493" s="15">
        <v>0.49100000000000005</v>
      </c>
    </row>
    <row r="494" spans="1:7" x14ac:dyDescent="0.35">
      <c r="A494" s="22">
        <v>33239</v>
      </c>
      <c r="B494" s="1">
        <v>17.686</v>
      </c>
      <c r="C494" s="1">
        <v>0.20299999999999999</v>
      </c>
      <c r="D494" s="1">
        <v>6.1206666666666658</v>
      </c>
      <c r="E494" s="1">
        <v>6.6886666666666663</v>
      </c>
      <c r="F494" s="1">
        <v>1.7743333333333335</v>
      </c>
      <c r="G494" s="15">
        <v>0.91733333333333322</v>
      </c>
    </row>
    <row r="495" spans="1:7" x14ac:dyDescent="0.35">
      <c r="A495" s="22">
        <v>33270</v>
      </c>
      <c r="B495" s="1">
        <v>19.028000000000002</v>
      </c>
      <c r="C495" s="1">
        <v>0.218</v>
      </c>
      <c r="D495" s="1">
        <v>4.1996666666666664</v>
      </c>
      <c r="E495" s="1">
        <v>0.71899999999999997</v>
      </c>
      <c r="F495" s="1">
        <v>1.6423333333333332</v>
      </c>
      <c r="G495" s="15">
        <v>0.58266666666666667</v>
      </c>
    </row>
    <row r="496" spans="1:7" x14ac:dyDescent="0.35">
      <c r="A496" s="22">
        <v>33298</v>
      </c>
      <c r="B496" s="1">
        <v>26.199333333333332</v>
      </c>
      <c r="C496" s="1">
        <v>0.18100000000000002</v>
      </c>
      <c r="D496" s="1">
        <v>2.7306666666666666</v>
      </c>
      <c r="E496" s="1">
        <v>0.504</v>
      </c>
      <c r="F496" s="1">
        <v>1.367</v>
      </c>
      <c r="G496" s="15">
        <v>0.25933333333333336</v>
      </c>
    </row>
    <row r="497" spans="1:7" x14ac:dyDescent="0.35">
      <c r="A497" s="22">
        <v>33329</v>
      </c>
      <c r="B497" s="1">
        <v>27.106666666666666</v>
      </c>
      <c r="C497" s="1">
        <v>0.24233333333333332</v>
      </c>
      <c r="D497" s="1">
        <v>1.5873333333333333</v>
      </c>
      <c r="E497" s="1">
        <v>0.14666666666666667</v>
      </c>
      <c r="F497" s="1">
        <v>1.2989999999999999</v>
      </c>
      <c r="G497" s="15">
        <v>0.38466666666666666</v>
      </c>
    </row>
    <row r="498" spans="1:7" x14ac:dyDescent="0.35">
      <c r="A498" s="22">
        <v>33359</v>
      </c>
      <c r="B498" s="1">
        <v>20.035999999999998</v>
      </c>
      <c r="C498" s="1">
        <v>0.53066666666666673</v>
      </c>
      <c r="D498" s="1">
        <v>1.196</v>
      </c>
      <c r="E498" s="1">
        <v>2.0433333333333335E-2</v>
      </c>
      <c r="F498" s="1">
        <v>0.77833333333333332</v>
      </c>
      <c r="G498" s="15">
        <v>4.1996666666666664</v>
      </c>
    </row>
    <row r="499" spans="1:7" x14ac:dyDescent="0.35">
      <c r="A499" s="22">
        <v>33390</v>
      </c>
      <c r="B499" s="1">
        <v>17.058333333333334</v>
      </c>
      <c r="C499" s="1">
        <v>0.11066666666666668</v>
      </c>
      <c r="D499" s="1">
        <v>1.1896666666666667</v>
      </c>
      <c r="E499" s="1">
        <v>0.11499999999999999</v>
      </c>
      <c r="F499" s="1">
        <v>0.47599999999999998</v>
      </c>
      <c r="G499" s="15">
        <v>4.7873333333333337</v>
      </c>
    </row>
    <row r="500" spans="1:7" x14ac:dyDescent="0.35">
      <c r="A500" s="22">
        <v>33420</v>
      </c>
      <c r="B500" s="1">
        <v>50.524000000000001</v>
      </c>
      <c r="C500" s="1">
        <v>0.21666666666666667</v>
      </c>
      <c r="D500" s="1">
        <v>1.623</v>
      </c>
      <c r="E500" s="1">
        <v>0.38633333333333336</v>
      </c>
      <c r="F500" s="1">
        <v>0.41599999999999998</v>
      </c>
      <c r="G500" s="15">
        <v>0.97233333333333327</v>
      </c>
    </row>
    <row r="501" spans="1:7" x14ac:dyDescent="0.35">
      <c r="A501" s="22">
        <v>33451</v>
      </c>
      <c r="B501" s="1">
        <v>151.96333333333334</v>
      </c>
      <c r="C501" s="1">
        <v>3.5666666666666666E-2</v>
      </c>
      <c r="D501" s="1">
        <v>1.9946666666666666</v>
      </c>
      <c r="E501" s="1">
        <v>0</v>
      </c>
      <c r="F501" s="1">
        <v>0.29266666666666669</v>
      </c>
      <c r="G501" s="15">
        <v>8.2333333333333328E-2</v>
      </c>
    </row>
    <row r="502" spans="1:7" x14ac:dyDescent="0.35">
      <c r="A502" s="22">
        <v>33482</v>
      </c>
      <c r="B502" s="1">
        <v>428.51533333333333</v>
      </c>
      <c r="C502" s="1">
        <v>4.6523333333333339</v>
      </c>
      <c r="D502" s="1">
        <v>17.211666666666666</v>
      </c>
      <c r="E502" s="1">
        <v>7.1733333333333329</v>
      </c>
      <c r="F502" s="1">
        <v>1.0410000000000001</v>
      </c>
      <c r="G502" s="15">
        <v>4.7066666666666661</v>
      </c>
    </row>
    <row r="503" spans="1:7" x14ac:dyDescent="0.35">
      <c r="A503" s="22">
        <v>33512</v>
      </c>
      <c r="B503" s="1">
        <v>96.469333333333338</v>
      </c>
      <c r="C503" s="1">
        <v>0.28066666666666668</v>
      </c>
      <c r="D503" s="1">
        <v>16.781666666666666</v>
      </c>
      <c r="E503" s="1">
        <v>5.7610000000000001</v>
      </c>
      <c r="F503" s="1">
        <v>1.7166666666666668</v>
      </c>
      <c r="G503" s="15">
        <v>0.26200000000000001</v>
      </c>
    </row>
    <row r="504" spans="1:7" x14ac:dyDescent="0.35">
      <c r="A504" s="22">
        <v>33543</v>
      </c>
      <c r="B504" s="1">
        <v>4.3460000000000001</v>
      </c>
      <c r="C504" s="1">
        <v>0.16666666666666666</v>
      </c>
      <c r="D504" s="1">
        <v>11.399000000000001</v>
      </c>
      <c r="E504" s="1">
        <v>2.9013333333333335</v>
      </c>
      <c r="F504" s="1">
        <v>2.61</v>
      </c>
      <c r="G504" s="15">
        <v>0.18799999999999997</v>
      </c>
    </row>
    <row r="505" spans="1:7" x14ac:dyDescent="0.35">
      <c r="A505" s="22">
        <v>33573</v>
      </c>
      <c r="B505" s="1">
        <v>19.974666666666668</v>
      </c>
      <c r="C505" s="1">
        <v>0.45733333333333337</v>
      </c>
      <c r="D505" s="1">
        <v>9.8926666666666669</v>
      </c>
      <c r="E505" s="1">
        <v>2.2426666666666666</v>
      </c>
      <c r="F505" s="1">
        <v>2.9803333333333337</v>
      </c>
      <c r="G505" s="15">
        <v>0.60666666666666669</v>
      </c>
    </row>
    <row r="506" spans="1:7" x14ac:dyDescent="0.35">
      <c r="A506" s="22">
        <v>33604</v>
      </c>
      <c r="B506" s="1">
        <v>87.88600000000001</v>
      </c>
      <c r="C506" s="1">
        <v>0.47333333333333333</v>
      </c>
      <c r="D506" s="1">
        <v>8.3843333333333323</v>
      </c>
      <c r="E506" s="1">
        <v>1.8353333333333335</v>
      </c>
      <c r="F506" s="1">
        <v>3.1539999999999999</v>
      </c>
      <c r="G506" s="15">
        <v>1.1143333333333334</v>
      </c>
    </row>
    <row r="507" spans="1:7" x14ac:dyDescent="0.35">
      <c r="A507" s="22">
        <v>33635</v>
      </c>
      <c r="B507" s="1">
        <v>70.159666666666666</v>
      </c>
      <c r="C507" s="1">
        <v>0.78399999999999992</v>
      </c>
      <c r="D507" s="1">
        <v>9.7443333333333335</v>
      </c>
      <c r="E507" s="1">
        <v>2.5596666666666668</v>
      </c>
      <c r="F507" s="1">
        <v>3.3306666666666671</v>
      </c>
      <c r="G507" s="15">
        <v>0.83266666666666678</v>
      </c>
    </row>
    <row r="508" spans="1:7" x14ac:dyDescent="0.35">
      <c r="A508" s="22">
        <v>33664</v>
      </c>
      <c r="B508" s="1">
        <v>29.977999999999998</v>
      </c>
      <c r="C508" s="1">
        <v>0.8833333333333333</v>
      </c>
      <c r="D508" s="1">
        <v>8.8393333333333342</v>
      </c>
      <c r="E508" s="1">
        <v>1.9243333333333332</v>
      </c>
      <c r="F508" s="1">
        <v>2.6903333333333332</v>
      </c>
      <c r="G508" s="15">
        <v>0.19966666666666666</v>
      </c>
    </row>
    <row r="509" spans="1:7" x14ac:dyDescent="0.35">
      <c r="A509" s="22">
        <v>33695</v>
      </c>
      <c r="B509" s="1">
        <v>26.668666666666667</v>
      </c>
      <c r="C509" s="1">
        <v>0.34433333333333332</v>
      </c>
      <c r="D509" s="1">
        <v>7.0696666666666665</v>
      </c>
      <c r="E509" s="1">
        <v>2.1403333333333334</v>
      </c>
      <c r="F509" s="1">
        <v>3.141</v>
      </c>
      <c r="G509" s="15">
        <v>1.9530000000000001</v>
      </c>
    </row>
    <row r="510" spans="1:7" x14ac:dyDescent="0.35">
      <c r="A510" s="22">
        <v>33725</v>
      </c>
      <c r="B510" s="1">
        <v>70.410333333333327</v>
      </c>
      <c r="C510" s="1">
        <v>0.90733333333333333</v>
      </c>
      <c r="D510" s="1">
        <v>13.300666666666666</v>
      </c>
      <c r="E510" s="1">
        <v>6.2809999999999997</v>
      </c>
      <c r="F510" s="1">
        <v>4.7009999999999996</v>
      </c>
      <c r="G510" s="15">
        <v>2.8420000000000001</v>
      </c>
    </row>
    <row r="511" spans="1:7" x14ac:dyDescent="0.35">
      <c r="A511" s="22">
        <v>33756</v>
      </c>
      <c r="B511" s="1">
        <v>120.61433333333333</v>
      </c>
      <c r="C511" s="1">
        <v>0.66166666666666674</v>
      </c>
      <c r="D511" s="1">
        <v>16.03</v>
      </c>
      <c r="E511" s="1">
        <v>7.9420000000000002</v>
      </c>
      <c r="F511" s="1">
        <v>4.2830000000000004</v>
      </c>
      <c r="G511" s="15">
        <v>5.4473333333333329</v>
      </c>
    </row>
    <row r="512" spans="1:7" x14ac:dyDescent="0.35">
      <c r="A512" s="22">
        <v>33786</v>
      </c>
      <c r="B512" s="1">
        <v>45.054666666666662</v>
      </c>
      <c r="C512" s="1">
        <v>1.8846666666666667</v>
      </c>
      <c r="D512" s="1">
        <v>21.599</v>
      </c>
      <c r="E512" s="1">
        <v>24.269333333333336</v>
      </c>
      <c r="F512" s="1">
        <v>9.5419999999999998</v>
      </c>
      <c r="G512" s="15">
        <v>0.81333333333333335</v>
      </c>
    </row>
    <row r="513" spans="1:7" x14ac:dyDescent="0.35">
      <c r="A513" s="22">
        <v>33817</v>
      </c>
      <c r="B513" s="1">
        <v>34.266333333333336</v>
      </c>
      <c r="C513" s="1">
        <v>0.27833333333333332</v>
      </c>
      <c r="D513" s="1">
        <v>14.901000000000002</v>
      </c>
      <c r="E513" s="1">
        <v>7.8093333333333339</v>
      </c>
      <c r="F513" s="1">
        <v>6.8996666666666675</v>
      </c>
      <c r="G513" s="15">
        <v>1.2596666666666667</v>
      </c>
    </row>
    <row r="514" spans="1:7" x14ac:dyDescent="0.35">
      <c r="A514" s="22">
        <v>33848</v>
      </c>
      <c r="B514" s="1">
        <v>15.362</v>
      </c>
      <c r="C514" s="1">
        <v>0.16066666666666665</v>
      </c>
      <c r="D514" s="1">
        <v>10.895000000000001</v>
      </c>
      <c r="E514" s="1">
        <v>4.952</v>
      </c>
      <c r="F514" s="1">
        <v>4.5536666666666665</v>
      </c>
      <c r="G514" s="15">
        <v>3.0373333333333332</v>
      </c>
    </row>
    <row r="515" spans="1:7" x14ac:dyDescent="0.35">
      <c r="A515" s="22">
        <v>33878</v>
      </c>
      <c r="B515" s="1">
        <v>11.427999999999999</v>
      </c>
      <c r="C515" s="1">
        <v>0.223</v>
      </c>
      <c r="D515" s="1">
        <v>9.2043333333333326</v>
      </c>
      <c r="E515" s="1">
        <v>2.0463333333333336</v>
      </c>
      <c r="F515" s="1">
        <v>3.3253333333333335</v>
      </c>
      <c r="G515" s="15">
        <v>0.40733333333333333</v>
      </c>
    </row>
    <row r="516" spans="1:7" x14ac:dyDescent="0.35">
      <c r="A516" s="22">
        <v>33909</v>
      </c>
      <c r="B516" s="1">
        <v>12.412666666666667</v>
      </c>
      <c r="C516" s="1">
        <v>0.24666666666666667</v>
      </c>
      <c r="D516" s="1">
        <v>5.4353333333333333</v>
      </c>
      <c r="E516" s="1">
        <v>3.2616666666666667</v>
      </c>
      <c r="F516" s="1">
        <v>2.5896666666666666</v>
      </c>
      <c r="G516" s="15">
        <v>0.23899999999999999</v>
      </c>
    </row>
    <row r="517" spans="1:7" x14ac:dyDescent="0.35">
      <c r="A517" s="22">
        <v>33939</v>
      </c>
      <c r="B517" s="1">
        <v>5.1429999999999998</v>
      </c>
      <c r="C517" s="1">
        <v>0.31666666666666665</v>
      </c>
      <c r="D517" s="1">
        <v>5.351</v>
      </c>
      <c r="E517" s="1">
        <v>2.9420000000000002</v>
      </c>
      <c r="F517" s="1">
        <v>2.3166666666666669</v>
      </c>
      <c r="G517" s="15">
        <v>0.33899999999999997</v>
      </c>
    </row>
    <row r="518" spans="1:7" x14ac:dyDescent="0.35">
      <c r="A518" s="22">
        <v>33970</v>
      </c>
      <c r="B518" s="1">
        <v>4.4980000000000002</v>
      </c>
      <c r="C518" s="1">
        <v>0.40766666666666668</v>
      </c>
      <c r="D518" s="1">
        <v>4.1223333333333336</v>
      </c>
      <c r="E518" s="1">
        <v>1.0156666666666667</v>
      </c>
      <c r="F518" s="1">
        <v>2.1856666666666666</v>
      </c>
      <c r="G518" s="15">
        <v>0.6133333333333334</v>
      </c>
    </row>
    <row r="519" spans="1:7" x14ac:dyDescent="0.35">
      <c r="A519" s="22">
        <v>34001</v>
      </c>
      <c r="B519" s="1">
        <v>3.6286666666666663</v>
      </c>
      <c r="C519" s="1">
        <v>0.29299999999999998</v>
      </c>
      <c r="D519" s="1">
        <v>3.1806666666666668</v>
      </c>
      <c r="E519" s="1">
        <v>0.44700000000000001</v>
      </c>
      <c r="F519" s="1">
        <v>1.6280000000000001</v>
      </c>
      <c r="G519" s="15">
        <v>0.45466666666666672</v>
      </c>
    </row>
    <row r="520" spans="1:7" x14ac:dyDescent="0.35">
      <c r="A520" s="22">
        <v>34029</v>
      </c>
      <c r="B520" s="1">
        <v>5.2380000000000004</v>
      </c>
      <c r="C520" s="1">
        <v>0.21433333333333335</v>
      </c>
      <c r="D520" s="1">
        <v>2.4380000000000002</v>
      </c>
      <c r="E520" s="1">
        <v>0.72866666666666668</v>
      </c>
      <c r="F520" s="1">
        <v>1.7506666666666666</v>
      </c>
      <c r="G520" s="15">
        <v>0.60033333333333327</v>
      </c>
    </row>
    <row r="521" spans="1:7" x14ac:dyDescent="0.35">
      <c r="A521" s="22">
        <v>34060</v>
      </c>
      <c r="B521" s="1">
        <v>5.0316666666666672</v>
      </c>
      <c r="C521" s="1">
        <v>0.11766666666666666</v>
      </c>
      <c r="D521" s="1">
        <v>1.6539999999999999</v>
      </c>
      <c r="E521" s="1">
        <v>0.308</v>
      </c>
      <c r="F521" s="1">
        <v>1.1096666666666668</v>
      </c>
      <c r="G521" s="15">
        <v>0.70833333333333337</v>
      </c>
    </row>
    <row r="522" spans="1:7" x14ac:dyDescent="0.35">
      <c r="A522" s="22">
        <v>34090</v>
      </c>
      <c r="B522" s="1">
        <v>6.0323333333333338</v>
      </c>
      <c r="C522" s="1">
        <v>0.11</v>
      </c>
      <c r="D522" s="1">
        <v>1.5660000000000001</v>
      </c>
      <c r="E522" s="1">
        <v>0.36266666666666669</v>
      </c>
      <c r="F522" s="1">
        <v>1.1213333333333333</v>
      </c>
      <c r="G522" s="15">
        <v>1.5976666666666668</v>
      </c>
    </row>
    <row r="523" spans="1:7" x14ac:dyDescent="0.35">
      <c r="A523" s="22">
        <v>34121</v>
      </c>
      <c r="B523" s="1">
        <v>47.814</v>
      </c>
      <c r="C523" s="1">
        <v>0.60766666666666669</v>
      </c>
      <c r="D523" s="1">
        <v>7.3116666666666665</v>
      </c>
      <c r="E523" s="1">
        <v>8.8439999999999994</v>
      </c>
      <c r="F523" s="1">
        <v>1.1146666666666667</v>
      </c>
      <c r="G523" s="15">
        <v>7.6113333333333335</v>
      </c>
    </row>
    <row r="524" spans="1:7" x14ac:dyDescent="0.35">
      <c r="A524" s="22">
        <v>34151</v>
      </c>
      <c r="B524" s="1">
        <v>99.204333333333338</v>
      </c>
      <c r="C524" s="1">
        <v>0.12566666666666668</v>
      </c>
      <c r="D524" s="1">
        <v>4.4383333333333335</v>
      </c>
      <c r="E524" s="1">
        <v>3.5749999999999997</v>
      </c>
      <c r="F524" s="1">
        <v>0.83766666666666667</v>
      </c>
      <c r="G524" s="15">
        <v>1.6593333333333333</v>
      </c>
    </row>
    <row r="525" spans="1:7" x14ac:dyDescent="0.35">
      <c r="A525" s="22">
        <v>34182</v>
      </c>
      <c r="B525" s="1">
        <v>21.796666666666667</v>
      </c>
      <c r="C525" s="1">
        <v>1.0603333333333333</v>
      </c>
      <c r="D525" s="1">
        <v>2.7856666666666663</v>
      </c>
      <c r="E525" s="1">
        <v>2.1579999999999999</v>
      </c>
      <c r="F525" s="1">
        <v>0.48466666666666663</v>
      </c>
      <c r="G525" s="15">
        <v>0.39066666666666666</v>
      </c>
    </row>
    <row r="526" spans="1:7" x14ac:dyDescent="0.35">
      <c r="A526" s="22">
        <v>34213</v>
      </c>
      <c r="B526" s="1">
        <v>23.126333333333335</v>
      </c>
      <c r="C526" s="1">
        <v>0.312</v>
      </c>
      <c r="D526" s="1">
        <v>4.9236666666666666</v>
      </c>
      <c r="E526" s="1">
        <v>3.532</v>
      </c>
      <c r="F526" s="1">
        <v>0.87666666666666659</v>
      </c>
      <c r="G526" s="15">
        <v>1.0346666666666666</v>
      </c>
    </row>
    <row r="527" spans="1:7" x14ac:dyDescent="0.35">
      <c r="A527" s="22">
        <v>34243</v>
      </c>
      <c r="B527" s="1">
        <v>15.004666666666667</v>
      </c>
      <c r="C527" s="1">
        <v>0.113</v>
      </c>
      <c r="D527" s="1">
        <v>3.903</v>
      </c>
      <c r="E527" s="1">
        <v>1.9703333333333333</v>
      </c>
      <c r="F527" s="1">
        <v>0.82433333333333325</v>
      </c>
      <c r="G527" s="15">
        <v>0.21466666666666667</v>
      </c>
    </row>
    <row r="528" spans="1:7" x14ac:dyDescent="0.35">
      <c r="A528" s="22">
        <v>34274</v>
      </c>
      <c r="B528" s="1">
        <v>12.133333333333333</v>
      </c>
      <c r="C528" s="1">
        <v>0.123</v>
      </c>
      <c r="D528" s="1">
        <v>1.923</v>
      </c>
      <c r="E528" s="1">
        <v>1.5656666666666668</v>
      </c>
      <c r="F528" s="1">
        <v>1.0183333333333333</v>
      </c>
      <c r="G528" s="15">
        <v>0.37033333333333335</v>
      </c>
    </row>
    <row r="529" spans="1:7" x14ac:dyDescent="0.35">
      <c r="A529" s="22">
        <v>34304</v>
      </c>
      <c r="B529" s="1">
        <v>11.497</v>
      </c>
      <c r="C529" s="1">
        <v>0.13633333333333333</v>
      </c>
      <c r="D529" s="1">
        <v>2.2736666666666667</v>
      </c>
      <c r="E529" s="1">
        <v>1.214</v>
      </c>
      <c r="F529" s="1">
        <v>1.028</v>
      </c>
      <c r="G529" s="15">
        <v>0.19433333333333333</v>
      </c>
    </row>
    <row r="530" spans="1:7" x14ac:dyDescent="0.35">
      <c r="A530" s="22">
        <v>34335</v>
      </c>
      <c r="B530" s="1">
        <v>11.713000000000001</v>
      </c>
      <c r="C530" s="1">
        <v>0.21199999999999999</v>
      </c>
      <c r="D530" s="1">
        <v>2.7129999999999996</v>
      </c>
      <c r="E530" s="1">
        <v>0.94499999999999995</v>
      </c>
      <c r="F530" s="1">
        <v>1.0629999999999999</v>
      </c>
      <c r="G530" s="15">
        <v>0.61266666666666669</v>
      </c>
    </row>
    <row r="531" spans="1:7" x14ac:dyDescent="0.35">
      <c r="A531" s="22">
        <v>34366</v>
      </c>
      <c r="B531" s="1">
        <v>10.301666666666668</v>
      </c>
      <c r="C531" s="1">
        <v>0.21833333333333335</v>
      </c>
      <c r="D531" s="1">
        <v>1.782</v>
      </c>
      <c r="E531" s="1">
        <v>0.69766666666666666</v>
      </c>
      <c r="F531" s="1">
        <v>1.1123333333333334</v>
      </c>
      <c r="G531" s="15">
        <v>0.44466666666666671</v>
      </c>
    </row>
    <row r="532" spans="1:7" x14ac:dyDescent="0.35">
      <c r="A532" s="22">
        <v>34394</v>
      </c>
      <c r="B532" s="1">
        <v>13.167333333333334</v>
      </c>
      <c r="C532" s="1">
        <v>0.33733333333333332</v>
      </c>
      <c r="D532" s="1">
        <v>3.6320000000000001</v>
      </c>
      <c r="E532" s="1">
        <v>0.7543333333333333</v>
      </c>
      <c r="F532" s="1">
        <v>1.2449999999999999</v>
      </c>
      <c r="G532" s="15">
        <v>0.27533333333333332</v>
      </c>
    </row>
    <row r="533" spans="1:7" x14ac:dyDescent="0.35">
      <c r="A533" s="22">
        <v>34425</v>
      </c>
      <c r="B533" s="1">
        <v>14.423333333333334</v>
      </c>
      <c r="C533" s="1">
        <v>0.16</v>
      </c>
      <c r="D533" s="1">
        <v>1.7896666666666665</v>
      </c>
      <c r="E533" s="1">
        <v>0.70333333333333325</v>
      </c>
      <c r="F533" s="1">
        <v>0.65066666666666662</v>
      </c>
      <c r="G533" s="15">
        <v>0.44366666666666665</v>
      </c>
    </row>
    <row r="534" spans="1:7" x14ac:dyDescent="0.35">
      <c r="A534" s="22">
        <v>34455</v>
      </c>
      <c r="B534" s="1">
        <v>31.037666666666667</v>
      </c>
      <c r="C534" s="1">
        <v>0.56300000000000006</v>
      </c>
      <c r="D534" s="1">
        <v>2.0596666666666668</v>
      </c>
      <c r="E534" s="1">
        <v>1.0783333333333334</v>
      </c>
      <c r="F534" s="1">
        <v>0.55799999999999994</v>
      </c>
      <c r="G534" s="15">
        <v>1.9160000000000001</v>
      </c>
    </row>
    <row r="535" spans="1:7" x14ac:dyDescent="0.35">
      <c r="A535" s="22">
        <v>34486</v>
      </c>
      <c r="B535" s="1">
        <v>7.8033333333333337</v>
      </c>
      <c r="C535" s="1">
        <v>6.8666666666666668E-2</v>
      </c>
      <c r="D535" s="1">
        <v>0.97533333333333339</v>
      </c>
      <c r="E535" s="1">
        <v>0.64733333333333332</v>
      </c>
      <c r="F535" s="1">
        <v>0.25133333333333335</v>
      </c>
      <c r="G535" s="15">
        <v>1.671</v>
      </c>
    </row>
    <row r="536" spans="1:7" x14ac:dyDescent="0.35">
      <c r="A536" s="22">
        <v>34516</v>
      </c>
      <c r="B536" s="1">
        <v>7.5696666666666665</v>
      </c>
      <c r="C536" s="1">
        <v>0.52566666666666662</v>
      </c>
      <c r="D536" s="1">
        <v>1.9176666666666666</v>
      </c>
      <c r="E536" s="1">
        <v>1.0386666666666666</v>
      </c>
      <c r="F536" s="1">
        <v>0.34633333333333333</v>
      </c>
      <c r="G536" s="15">
        <v>0.54599999999999993</v>
      </c>
    </row>
    <row r="537" spans="1:7" x14ac:dyDescent="0.35">
      <c r="A537" s="22">
        <v>34547</v>
      </c>
      <c r="B537" s="1">
        <v>5.730666666666667</v>
      </c>
      <c r="C537" s="1">
        <v>4.8666666666666664E-2</v>
      </c>
      <c r="D537" s="1">
        <v>0.81099999999999994</v>
      </c>
      <c r="E537" s="1">
        <v>0</v>
      </c>
      <c r="F537" s="1">
        <v>0.18333333333333335</v>
      </c>
      <c r="G537" s="15">
        <v>0.3203333333333333</v>
      </c>
    </row>
    <row r="538" spans="1:7" x14ac:dyDescent="0.35">
      <c r="A538" s="22">
        <v>34578</v>
      </c>
      <c r="B538" s="1">
        <v>8.2506666666666657</v>
      </c>
      <c r="C538" s="1">
        <v>0.94433333333333336</v>
      </c>
      <c r="D538" s="1">
        <v>1.9749999999999999</v>
      </c>
      <c r="E538" s="1">
        <v>0.93800000000000006</v>
      </c>
      <c r="F538" s="1">
        <v>0.29966666666666669</v>
      </c>
      <c r="G538" s="15">
        <v>3.222</v>
      </c>
    </row>
    <row r="539" spans="1:7" x14ac:dyDescent="0.35">
      <c r="A539" s="22">
        <v>34608</v>
      </c>
      <c r="B539" s="1">
        <v>4.3926666666666669</v>
      </c>
      <c r="C539" s="1">
        <v>0.16866666666666666</v>
      </c>
      <c r="D539" s="1">
        <v>1.1013333333333333</v>
      </c>
      <c r="E539" s="1">
        <v>0</v>
      </c>
      <c r="F539" s="1">
        <v>0.28999999999999998</v>
      </c>
      <c r="G539" s="15">
        <v>0.96566666666666656</v>
      </c>
    </row>
    <row r="540" spans="1:7" x14ac:dyDescent="0.35">
      <c r="A540" s="22">
        <v>34639</v>
      </c>
      <c r="B540" s="1">
        <v>2.2389999999999999</v>
      </c>
      <c r="C540" s="1">
        <v>9.7666666666666666E-2</v>
      </c>
      <c r="D540" s="1">
        <v>0.91600000000000004</v>
      </c>
      <c r="E540" s="1">
        <v>0</v>
      </c>
      <c r="F540" s="1">
        <v>0.3116666666666667</v>
      </c>
      <c r="G540" s="15">
        <v>0.51400000000000001</v>
      </c>
    </row>
    <row r="541" spans="1:7" x14ac:dyDescent="0.35">
      <c r="A541" s="22">
        <v>34669</v>
      </c>
      <c r="B541" s="1">
        <v>1.8903333333333334</v>
      </c>
      <c r="C541" s="1">
        <v>0.17600000000000002</v>
      </c>
      <c r="D541" s="1">
        <v>1.1293333333333333</v>
      </c>
      <c r="E541" s="1">
        <v>0</v>
      </c>
      <c r="F541" s="1">
        <v>0.42433333333333328</v>
      </c>
      <c r="G541" s="15">
        <v>0.44266666666666671</v>
      </c>
    </row>
    <row r="542" spans="1:7" x14ac:dyDescent="0.35">
      <c r="A542" s="22">
        <v>34700</v>
      </c>
      <c r="B542" s="1">
        <v>1.6616666666666668</v>
      </c>
      <c r="C542" s="1">
        <v>0.15066666666666667</v>
      </c>
      <c r="D542" s="1">
        <v>0.8623333333333334</v>
      </c>
      <c r="E542" s="1">
        <v>0</v>
      </c>
      <c r="F542" s="1">
        <v>0.45933333333333332</v>
      </c>
      <c r="G542" s="15">
        <v>0.31666666666666665</v>
      </c>
    </row>
    <row r="543" spans="1:7" x14ac:dyDescent="0.35">
      <c r="A543" s="22">
        <v>34731</v>
      </c>
      <c r="B543" s="1">
        <v>1.0940000000000001</v>
      </c>
      <c r="C543" s="1">
        <v>9.6666666666666665E-2</v>
      </c>
      <c r="D543" s="1">
        <v>0.78666666666666663</v>
      </c>
      <c r="E543" s="1">
        <v>0</v>
      </c>
      <c r="F543" s="1">
        <v>0.439</v>
      </c>
      <c r="G543" s="15">
        <v>2.6800000000000001E-2</v>
      </c>
    </row>
    <row r="544" spans="1:7" x14ac:dyDescent="0.35">
      <c r="A544" s="22">
        <v>34759</v>
      </c>
      <c r="B544" s="1">
        <v>0.99633333333333329</v>
      </c>
      <c r="C544" s="1">
        <v>0.10266666666666667</v>
      </c>
      <c r="D544" s="1">
        <v>1.2593333333333334</v>
      </c>
      <c r="E544" s="1">
        <v>1.2966666666666666E-2</v>
      </c>
      <c r="F544" s="1">
        <v>0.52866666666666673</v>
      </c>
      <c r="G544" s="15">
        <v>2.0166666666666666E-3</v>
      </c>
    </row>
    <row r="545" spans="1:7" x14ac:dyDescent="0.35">
      <c r="A545" s="22">
        <v>34790</v>
      </c>
      <c r="B545" s="1">
        <v>3.2946666666666666</v>
      </c>
      <c r="C545" s="1">
        <v>0.23166666666666666</v>
      </c>
      <c r="D545" s="1">
        <v>0.7363333333333334</v>
      </c>
      <c r="E545" s="1">
        <v>0</v>
      </c>
      <c r="F545" s="1">
        <v>0.52033333333333331</v>
      </c>
      <c r="G545" s="15">
        <v>0</v>
      </c>
    </row>
    <row r="546" spans="1:7" x14ac:dyDescent="0.35">
      <c r="A546" s="22">
        <v>34820</v>
      </c>
      <c r="B546" s="1">
        <v>1.5383333333333333</v>
      </c>
      <c r="C546" s="1">
        <v>2.8003333333333331</v>
      </c>
      <c r="D546" s="1">
        <v>2.15</v>
      </c>
      <c r="E546" s="1">
        <v>0.64333333333333331</v>
      </c>
      <c r="F546" s="1">
        <v>0.52600000000000002</v>
      </c>
      <c r="G546" s="15">
        <v>6.1673333333333327</v>
      </c>
    </row>
    <row r="547" spans="1:7" x14ac:dyDescent="0.35">
      <c r="A547" s="22">
        <v>34851</v>
      </c>
      <c r="B547" s="1">
        <v>2.4689999999999999</v>
      </c>
      <c r="C547" s="1">
        <v>0.10533333333333333</v>
      </c>
      <c r="D547" s="1">
        <v>0.78066666666666673</v>
      </c>
      <c r="E547" s="1">
        <v>0</v>
      </c>
      <c r="F547" s="1">
        <v>0.17133333333333334</v>
      </c>
      <c r="G547" s="15">
        <v>1.0726666666666667</v>
      </c>
    </row>
    <row r="548" spans="1:7" x14ac:dyDescent="0.35">
      <c r="A548" s="22">
        <v>34881</v>
      </c>
      <c r="B548" s="1">
        <v>2.5193333333333334</v>
      </c>
      <c r="C548" s="1">
        <v>4.1333333333333333E-2</v>
      </c>
      <c r="D548" s="1">
        <v>0.44700000000000001</v>
      </c>
      <c r="E548" s="1">
        <v>0</v>
      </c>
      <c r="F548" s="1">
        <v>0.26300000000000001</v>
      </c>
      <c r="G548" s="15">
        <v>0.14033333333333334</v>
      </c>
    </row>
    <row r="549" spans="1:7" x14ac:dyDescent="0.35">
      <c r="A549" s="22">
        <v>34912</v>
      </c>
      <c r="B549" s="1">
        <v>2.4016666666666668</v>
      </c>
      <c r="C549" s="1">
        <v>3.5666666666666666E-2</v>
      </c>
      <c r="D549" s="1">
        <v>0.13066666666666668</v>
      </c>
      <c r="E549" s="1">
        <v>0</v>
      </c>
      <c r="F549" s="1">
        <v>0.10266666666666667</v>
      </c>
      <c r="G549" s="15">
        <v>0.52400000000000002</v>
      </c>
    </row>
    <row r="550" spans="1:7" x14ac:dyDescent="0.35">
      <c r="A550" s="22">
        <v>34943</v>
      </c>
      <c r="B550" s="1">
        <v>6.7206666666666663</v>
      </c>
      <c r="C550" s="1">
        <v>0.20633333333333334</v>
      </c>
      <c r="D550" s="1">
        <v>0.28099999999999997</v>
      </c>
      <c r="E550" s="1">
        <v>0.74333333333333329</v>
      </c>
      <c r="F550" s="1">
        <v>0.82533333333333336</v>
      </c>
      <c r="G550" s="15">
        <v>30.74</v>
      </c>
    </row>
    <row r="551" spans="1:7" x14ac:dyDescent="0.35">
      <c r="A551" s="22">
        <v>34973</v>
      </c>
      <c r="B551" s="1">
        <v>0.98366666666666669</v>
      </c>
      <c r="C551" s="1">
        <v>3.5999999999999997E-2</v>
      </c>
      <c r="D551" s="1">
        <v>0.33699999999999997</v>
      </c>
      <c r="E551" s="1">
        <v>4.9333333333333333E-2</v>
      </c>
      <c r="F551" s="1">
        <v>0.18333333333333335</v>
      </c>
      <c r="G551" s="15">
        <v>2.4483333333333333</v>
      </c>
    </row>
    <row r="552" spans="1:7" x14ac:dyDescent="0.35">
      <c r="A552" s="22">
        <v>35004</v>
      </c>
      <c r="B552" s="1">
        <v>0.65433333333333332</v>
      </c>
      <c r="C552" s="1">
        <v>4.3666666666666666E-2</v>
      </c>
      <c r="D552" s="1">
        <v>0.433</v>
      </c>
      <c r="E552" s="1">
        <v>0.13866666666666666</v>
      </c>
      <c r="F552" s="1">
        <v>0.3203333333333333</v>
      </c>
      <c r="G552" s="15">
        <v>2.3356666666666666</v>
      </c>
    </row>
    <row r="553" spans="1:7" x14ac:dyDescent="0.35">
      <c r="A553" s="22">
        <v>35034</v>
      </c>
      <c r="B553" s="1">
        <v>0.69799999999999995</v>
      </c>
      <c r="C553" s="1">
        <v>3.4999999999999996E-2</v>
      </c>
      <c r="D553" s="1">
        <v>0.49100000000000005</v>
      </c>
      <c r="E553" s="1">
        <v>0</v>
      </c>
      <c r="F553" s="1">
        <v>0.24033333333333332</v>
      </c>
      <c r="G553" s="15">
        <v>0.16</v>
      </c>
    </row>
    <row r="554" spans="1:7" x14ac:dyDescent="0.35">
      <c r="A554" s="22">
        <v>35065</v>
      </c>
      <c r="B554" s="1">
        <v>0.70500000000000007</v>
      </c>
      <c r="C554" s="1">
        <v>4.1333333333333333E-2</v>
      </c>
      <c r="D554" s="1">
        <v>0.84166666666666667</v>
      </c>
      <c r="E554" s="1">
        <v>0</v>
      </c>
      <c r="F554" s="1">
        <v>0.30499999999999999</v>
      </c>
      <c r="G554" s="15">
        <v>3.3133333333333334E-2</v>
      </c>
    </row>
    <row r="555" spans="1:7" x14ac:dyDescent="0.35">
      <c r="A555" s="22">
        <v>35096</v>
      </c>
      <c r="B555" s="1">
        <v>0.65733333333333333</v>
      </c>
      <c r="C555" s="1">
        <v>5.1999999999999998E-2</v>
      </c>
      <c r="D555" s="1">
        <v>0.42633333333333329</v>
      </c>
      <c r="E555" s="1">
        <v>0</v>
      </c>
      <c r="F555" s="1">
        <v>0.26833333333333337</v>
      </c>
      <c r="G555" s="15">
        <v>0</v>
      </c>
    </row>
    <row r="556" spans="1:7" x14ac:dyDescent="0.35">
      <c r="A556" s="22">
        <v>35125</v>
      </c>
      <c r="B556" s="1">
        <v>0.45066666666666672</v>
      </c>
      <c r="C556" s="1">
        <v>6.1666666666666668E-2</v>
      </c>
      <c r="D556" s="1">
        <v>0.26566666666666666</v>
      </c>
      <c r="E556" s="1">
        <v>0</v>
      </c>
      <c r="F556" s="1">
        <v>0.36600000000000005</v>
      </c>
      <c r="G556" s="15">
        <v>0</v>
      </c>
    </row>
    <row r="557" spans="1:7" x14ac:dyDescent="0.35">
      <c r="A557" s="22">
        <v>35156</v>
      </c>
      <c r="B557" s="1">
        <v>0.38599999999999995</v>
      </c>
      <c r="C557" s="1">
        <v>6.533333333333334E-2</v>
      </c>
      <c r="D557" s="1">
        <v>0.23266666666666666</v>
      </c>
      <c r="E557" s="1">
        <v>0</v>
      </c>
      <c r="F557" s="1">
        <v>0.45933333333333332</v>
      </c>
      <c r="G557" s="15">
        <v>0</v>
      </c>
    </row>
    <row r="558" spans="1:7" x14ac:dyDescent="0.35">
      <c r="A558" s="22">
        <v>35186</v>
      </c>
      <c r="B558" s="1">
        <v>0.34899999999999998</v>
      </c>
      <c r="C558" s="1">
        <v>7.3666666666666672E-2</v>
      </c>
      <c r="D558" s="1">
        <v>0.13166666666666668</v>
      </c>
      <c r="E558" s="1">
        <v>0</v>
      </c>
      <c r="F558" s="1">
        <v>0.32</v>
      </c>
      <c r="G558" s="15">
        <v>1.6253333333333335</v>
      </c>
    </row>
    <row r="559" spans="1:7" x14ac:dyDescent="0.35">
      <c r="A559" s="22">
        <v>35217</v>
      </c>
      <c r="B559" s="1">
        <v>1.7736666666666665</v>
      </c>
      <c r="C559" s="1">
        <v>1.9E-2</v>
      </c>
      <c r="D559" s="1">
        <v>9.3999999999999986E-2</v>
      </c>
      <c r="E559" s="1">
        <v>8.0666666666666664E-3</v>
      </c>
      <c r="F559" s="1">
        <v>0.18000000000000002</v>
      </c>
      <c r="G559" s="15">
        <v>1.4156666666666666</v>
      </c>
    </row>
    <row r="560" spans="1:7" x14ac:dyDescent="0.35">
      <c r="A560" s="22">
        <v>35247</v>
      </c>
      <c r="B560" s="1">
        <v>2.0766666666666667</v>
      </c>
      <c r="C560" s="1">
        <v>1.1233333333333333E-2</v>
      </c>
      <c r="D560" s="1">
        <v>5.9666666666666666E-2</v>
      </c>
      <c r="E560" s="1">
        <v>0</v>
      </c>
      <c r="F560" s="1">
        <v>0.10066666666666667</v>
      </c>
      <c r="G560" s="15">
        <v>2.1480000000000001</v>
      </c>
    </row>
    <row r="561" spans="1:7" x14ac:dyDescent="0.35">
      <c r="A561" s="22">
        <v>35278</v>
      </c>
      <c r="B561" s="1">
        <v>16.773333333333333</v>
      </c>
      <c r="C561" s="1">
        <v>0.85833333333333339</v>
      </c>
      <c r="D561" s="1">
        <v>1.4426666666666668</v>
      </c>
      <c r="E561" s="1">
        <v>0.38866666666666666</v>
      </c>
      <c r="F561" s="1">
        <v>0.19833333333333333</v>
      </c>
      <c r="G561" s="15">
        <v>6.4186666666666667</v>
      </c>
    </row>
    <row r="562" spans="1:7" x14ac:dyDescent="0.35">
      <c r="A562" s="22">
        <v>35309</v>
      </c>
      <c r="B562" s="1">
        <v>9.5986666666666665</v>
      </c>
      <c r="C562" s="1">
        <v>1.9886666666666668</v>
      </c>
      <c r="D562" s="1">
        <v>5.9490000000000007</v>
      </c>
      <c r="E562" s="1">
        <v>0.20699999999999999</v>
      </c>
      <c r="F562" s="1">
        <v>0.27799999999999997</v>
      </c>
      <c r="G562" s="15">
        <v>4.0753333333333339</v>
      </c>
    </row>
    <row r="563" spans="1:7" x14ac:dyDescent="0.35">
      <c r="A563" s="22">
        <v>35339</v>
      </c>
      <c r="B563" s="1">
        <v>39.304333333333332</v>
      </c>
      <c r="C563" s="1">
        <v>0.10066666666666667</v>
      </c>
      <c r="D563" s="1">
        <v>2.9796666666666667</v>
      </c>
      <c r="E563" s="1">
        <v>0.159</v>
      </c>
      <c r="F563" s="1">
        <v>0.17266666666666666</v>
      </c>
      <c r="G563" s="15">
        <v>6.1459999999999999</v>
      </c>
    </row>
    <row r="564" spans="1:7" x14ac:dyDescent="0.35">
      <c r="A564" s="22">
        <v>35370</v>
      </c>
      <c r="B564" s="1">
        <v>2.1003333333333334</v>
      </c>
      <c r="C564" s="1">
        <v>5.1333333333333335E-2</v>
      </c>
      <c r="D564" s="1">
        <v>1.2976666666666665</v>
      </c>
      <c r="E564" s="1">
        <v>0</v>
      </c>
      <c r="F564" s="1">
        <v>0.14299999999999999</v>
      </c>
      <c r="G564" s="15">
        <v>0.113</v>
      </c>
    </row>
    <row r="565" spans="1:7" x14ac:dyDescent="0.35">
      <c r="A565" s="22">
        <v>35400</v>
      </c>
      <c r="B565" s="1">
        <v>1.6139999999999999</v>
      </c>
      <c r="C565" s="1">
        <v>9.0333333333333335E-2</v>
      </c>
      <c r="D565" s="1">
        <v>0.9900000000000001</v>
      </c>
      <c r="E565" s="1">
        <v>0</v>
      </c>
      <c r="F565" s="1">
        <v>0.17400000000000002</v>
      </c>
      <c r="G565" s="15">
        <v>0.10266666666666667</v>
      </c>
    </row>
    <row r="566" spans="1:7" x14ac:dyDescent="0.35">
      <c r="A566" s="22">
        <v>35431</v>
      </c>
      <c r="B566" s="1">
        <v>1.014</v>
      </c>
      <c r="C566" s="1">
        <v>9.0666666666666673E-2</v>
      </c>
      <c r="D566" s="1">
        <v>0.95766666666666678</v>
      </c>
      <c r="E566" s="1">
        <v>0</v>
      </c>
      <c r="F566" s="1">
        <v>0.18799999999999997</v>
      </c>
      <c r="G566" s="15">
        <v>0</v>
      </c>
    </row>
    <row r="567" spans="1:7" x14ac:dyDescent="0.35">
      <c r="A567" s="22">
        <v>35462</v>
      </c>
      <c r="B567" s="1">
        <v>1.3823333333333334</v>
      </c>
      <c r="C567" s="1">
        <v>0.31133333333333335</v>
      </c>
      <c r="D567" s="1">
        <v>1.0416666666666667</v>
      </c>
      <c r="E567" s="1">
        <v>0.22666666666666668</v>
      </c>
      <c r="F567" s="1">
        <v>0.20866666666666667</v>
      </c>
      <c r="G567" s="15">
        <v>0</v>
      </c>
    </row>
    <row r="568" spans="1:7" x14ac:dyDescent="0.35">
      <c r="A568" s="22">
        <v>35490</v>
      </c>
      <c r="B568" s="1">
        <v>1.2153333333333334</v>
      </c>
      <c r="C568" s="1">
        <v>0.71433333333333326</v>
      </c>
      <c r="D568" s="1">
        <v>5.8356666666666674</v>
      </c>
      <c r="E568" s="1">
        <v>4.7333333333333331E-2</v>
      </c>
      <c r="F568" s="1">
        <v>0.26233333333333336</v>
      </c>
      <c r="G568" s="15">
        <v>5.6109999999999998</v>
      </c>
    </row>
    <row r="569" spans="1:7" x14ac:dyDescent="0.35">
      <c r="A569" s="22">
        <v>35521</v>
      </c>
      <c r="B569" s="1">
        <v>0.99633333333333329</v>
      </c>
      <c r="C569" s="1">
        <v>0.433</v>
      </c>
      <c r="D569" s="1">
        <v>2.0569999999999999</v>
      </c>
      <c r="E569" s="1">
        <v>0</v>
      </c>
      <c r="F569" s="1">
        <v>0.20666666666666667</v>
      </c>
      <c r="G569" s="15">
        <v>1.0616666666666668</v>
      </c>
    </row>
    <row r="570" spans="1:7" x14ac:dyDescent="0.35">
      <c r="A570" s="22">
        <v>35551</v>
      </c>
      <c r="B570" s="1">
        <v>17.984333333333336</v>
      </c>
      <c r="C570" s="1">
        <v>0.41933333333333334</v>
      </c>
      <c r="D570" s="1">
        <v>1.9726666666666668</v>
      </c>
      <c r="E570" s="1">
        <v>0.16066666666666665</v>
      </c>
      <c r="F570" s="1">
        <v>0.4463333333333333</v>
      </c>
      <c r="G570" s="15">
        <v>6.0596666666666659</v>
      </c>
    </row>
    <row r="571" spans="1:7" x14ac:dyDescent="0.35">
      <c r="A571" s="22">
        <v>35582</v>
      </c>
      <c r="B571" s="1">
        <v>9.3853333333333335</v>
      </c>
      <c r="C571" s="1">
        <v>0.73899999999999999</v>
      </c>
      <c r="D571" s="1">
        <v>7.4466666666666663</v>
      </c>
      <c r="E571" s="1">
        <v>0.70433333333333337</v>
      </c>
      <c r="F571" s="1">
        <v>0.40633333333333338</v>
      </c>
      <c r="G571" s="15">
        <v>2.1363333333333334</v>
      </c>
    </row>
    <row r="572" spans="1:7" x14ac:dyDescent="0.35">
      <c r="A572" s="22">
        <v>35612</v>
      </c>
      <c r="B572" s="1">
        <v>9.8349999999999991</v>
      </c>
      <c r="C572" s="1">
        <v>6.3E-2</v>
      </c>
      <c r="D572" s="1">
        <v>4.0309999999999997</v>
      </c>
      <c r="E572" s="1">
        <v>0</v>
      </c>
      <c r="F572" s="1">
        <v>0.17100000000000001</v>
      </c>
      <c r="G572" s="15">
        <v>0</v>
      </c>
    </row>
    <row r="573" spans="1:7" x14ac:dyDescent="0.35">
      <c r="A573" s="22">
        <v>35643</v>
      </c>
      <c r="B573" s="1">
        <v>5.7130000000000001</v>
      </c>
      <c r="C573" s="1">
        <v>3.1966666666666664E-2</v>
      </c>
      <c r="D573" s="1">
        <v>0.42666666666666669</v>
      </c>
      <c r="E573" s="1">
        <v>0</v>
      </c>
      <c r="F573" s="1">
        <v>0.12566666666666668</v>
      </c>
      <c r="G573" s="15">
        <v>0.04</v>
      </c>
    </row>
    <row r="574" spans="1:7" x14ac:dyDescent="0.35">
      <c r="A574" s="22">
        <v>35674</v>
      </c>
      <c r="B574" s="1">
        <v>3.1156666666666664</v>
      </c>
      <c r="C574" s="1">
        <v>0.13166666666666668</v>
      </c>
      <c r="D574" s="1">
        <v>1.9566666666666668</v>
      </c>
      <c r="E574" s="1">
        <v>0</v>
      </c>
      <c r="F574" s="1">
        <v>0.10466666666666667</v>
      </c>
      <c r="G574" s="15">
        <v>1.0449999999999999</v>
      </c>
    </row>
    <row r="575" spans="1:7" x14ac:dyDescent="0.35">
      <c r="A575" s="22">
        <v>35704</v>
      </c>
      <c r="B575" s="1">
        <v>2.6606666666666667</v>
      </c>
      <c r="C575" s="1">
        <v>6.6333333333333341E-2</v>
      </c>
      <c r="D575" s="1">
        <v>11.243666666666668</v>
      </c>
      <c r="E575" s="1">
        <v>0</v>
      </c>
      <c r="F575" s="1">
        <v>0.17666666666666667</v>
      </c>
      <c r="G575" s="15">
        <v>1.7063333333333333</v>
      </c>
    </row>
    <row r="576" spans="1:7" x14ac:dyDescent="0.35">
      <c r="A576" s="22">
        <v>35735</v>
      </c>
      <c r="B576" s="1">
        <v>2.2396666666666669</v>
      </c>
      <c r="C576" s="1">
        <v>6.4666666666666664E-2</v>
      </c>
      <c r="D576" s="1">
        <v>9.4466666666666672</v>
      </c>
      <c r="E576" s="1">
        <v>0</v>
      </c>
      <c r="F576" s="1">
        <v>0.24033333333333332</v>
      </c>
      <c r="G576" s="15">
        <v>0.56166666666666665</v>
      </c>
    </row>
    <row r="577" spans="1:7" x14ac:dyDescent="0.35">
      <c r="A577" s="22">
        <v>35765</v>
      </c>
      <c r="B577" s="1">
        <v>1.5056666666666667</v>
      </c>
      <c r="C577" s="1">
        <v>8.3666666666666667E-2</v>
      </c>
      <c r="D577" s="1">
        <v>5.9276666666666671</v>
      </c>
      <c r="E577" s="1">
        <v>8.6333333333333331E-3</v>
      </c>
      <c r="F577" s="1">
        <v>0.24433333333333332</v>
      </c>
      <c r="G577" s="15">
        <v>0</v>
      </c>
    </row>
    <row r="578" spans="1:7" x14ac:dyDescent="0.35">
      <c r="A578" s="22">
        <v>35796</v>
      </c>
      <c r="B578" s="1">
        <v>1.2643333333333333</v>
      </c>
      <c r="C578" s="1">
        <v>0.13</v>
      </c>
      <c r="D578" s="1">
        <v>4.8343333333333334</v>
      </c>
      <c r="E578" s="1">
        <v>5.0666666666666665E-2</v>
      </c>
      <c r="F578" s="1">
        <v>0.22333333333333336</v>
      </c>
      <c r="G578" s="15">
        <v>0</v>
      </c>
    </row>
    <row r="579" spans="1:7" x14ac:dyDescent="0.35">
      <c r="A579" s="22">
        <v>35827</v>
      </c>
      <c r="B579" s="1">
        <v>0.92833333333333334</v>
      </c>
      <c r="C579" s="1">
        <v>0.11833333333333333</v>
      </c>
      <c r="D579" s="1">
        <v>2.415</v>
      </c>
      <c r="E579" s="1">
        <v>1.8733333333333334E-2</v>
      </c>
      <c r="F579" s="1">
        <v>0.28733333333333333</v>
      </c>
      <c r="G579" s="15">
        <v>0</v>
      </c>
    </row>
    <row r="580" spans="1:7" x14ac:dyDescent="0.35">
      <c r="A580" s="22">
        <v>35855</v>
      </c>
      <c r="B580" s="1">
        <v>1.0786666666666667</v>
      </c>
      <c r="C580" s="1">
        <v>0.18733333333333335</v>
      </c>
      <c r="D580" s="1">
        <v>0.89466666666666672</v>
      </c>
      <c r="E580" s="1">
        <v>0</v>
      </c>
      <c r="F580" s="1">
        <v>0.26633333333333337</v>
      </c>
      <c r="G580" s="15">
        <v>0</v>
      </c>
    </row>
    <row r="581" spans="1:7" x14ac:dyDescent="0.35">
      <c r="A581" s="22">
        <v>35886</v>
      </c>
      <c r="B581" s="1">
        <v>1.5173333333333332</v>
      </c>
      <c r="C581" s="1">
        <v>9.6333333333333326E-2</v>
      </c>
      <c r="D581" s="1">
        <v>0.42899999999999999</v>
      </c>
      <c r="E581" s="1">
        <v>0</v>
      </c>
      <c r="F581" s="1">
        <v>0.14399999999999999</v>
      </c>
      <c r="G581" s="15">
        <v>0</v>
      </c>
    </row>
    <row r="582" spans="1:7" x14ac:dyDescent="0.35">
      <c r="A582" s="22">
        <v>35916</v>
      </c>
      <c r="B582" s="1">
        <v>2.9873333333333334</v>
      </c>
      <c r="C582" s="1">
        <v>4.8999999999999995E-2</v>
      </c>
      <c r="D582" s="1">
        <v>0.14466666666666667</v>
      </c>
      <c r="E582" s="1">
        <v>0</v>
      </c>
      <c r="F582" s="1">
        <v>8.6333333333333331E-2</v>
      </c>
      <c r="G582" s="15">
        <v>0</v>
      </c>
    </row>
    <row r="583" spans="1:7" x14ac:dyDescent="0.35">
      <c r="A583" s="22">
        <v>35947</v>
      </c>
      <c r="B583" s="1">
        <v>3.0830000000000002</v>
      </c>
      <c r="C583" s="1">
        <v>1.9300000000000001E-2</v>
      </c>
      <c r="D583" s="1">
        <v>0.121</v>
      </c>
      <c r="E583" s="1">
        <v>0</v>
      </c>
      <c r="F583" s="1">
        <v>0.19499999999999998</v>
      </c>
      <c r="G583" s="15">
        <v>0</v>
      </c>
    </row>
    <row r="584" spans="1:7" x14ac:dyDescent="0.35">
      <c r="A584" s="22">
        <v>35977</v>
      </c>
      <c r="B584" s="1">
        <v>3.8960000000000004</v>
      </c>
      <c r="C584" s="1">
        <v>1.0366666666666666E-2</v>
      </c>
      <c r="D584" s="1">
        <v>0.12366666666666666</v>
      </c>
      <c r="E584" s="1">
        <v>0.91299999999999992</v>
      </c>
      <c r="F584" s="1">
        <v>2.5999999999999999E-2</v>
      </c>
      <c r="G584" s="15">
        <v>0</v>
      </c>
    </row>
    <row r="585" spans="1:7" x14ac:dyDescent="0.35">
      <c r="A585" s="22">
        <v>36008</v>
      </c>
      <c r="B585" s="1">
        <v>7.7763333333333335</v>
      </c>
      <c r="C585" s="1">
        <v>10.655666666666667</v>
      </c>
      <c r="D585" s="1">
        <v>21.554333333333332</v>
      </c>
      <c r="E585" s="1">
        <v>13.122</v>
      </c>
      <c r="F585" s="1">
        <v>0</v>
      </c>
      <c r="G585" s="15">
        <v>2.8640000000000003</v>
      </c>
    </row>
    <row r="586" spans="1:7" x14ac:dyDescent="0.35">
      <c r="A586" s="22">
        <v>36039</v>
      </c>
      <c r="B586" s="1">
        <v>1.5253333333333332</v>
      </c>
      <c r="C586" s="1">
        <v>0.35366666666666663</v>
      </c>
      <c r="D586" s="1">
        <v>8.0326666666666657</v>
      </c>
      <c r="E586" s="1">
        <v>0.24433333333333332</v>
      </c>
      <c r="F586" s="1">
        <v>0.20866666666666667</v>
      </c>
      <c r="G586" s="15">
        <v>19.306999999999999</v>
      </c>
    </row>
    <row r="587" spans="1:7" x14ac:dyDescent="0.35">
      <c r="A587" s="22">
        <v>36069</v>
      </c>
      <c r="B587" s="1">
        <v>3.5806666666666671</v>
      </c>
      <c r="C587" s="1">
        <v>0.11466666666666665</v>
      </c>
      <c r="D587" s="1">
        <v>4.375</v>
      </c>
      <c r="E587" s="1">
        <v>8.3333333333333332E-3</v>
      </c>
      <c r="F587" s="1">
        <v>9.0000000000000011E-2</v>
      </c>
      <c r="G587" s="15">
        <v>2.1759999999999997</v>
      </c>
    </row>
    <row r="588" spans="1:7" x14ac:dyDescent="0.35">
      <c r="A588" s="22">
        <v>36100</v>
      </c>
      <c r="B588" s="1">
        <v>1.2673333333333334</v>
      </c>
      <c r="C588" s="1">
        <v>0.15633333333333332</v>
      </c>
      <c r="D588" s="1">
        <v>1.9506666666666668</v>
      </c>
      <c r="E588" s="1">
        <v>1.8256666666666668</v>
      </c>
      <c r="F588" s="1">
        <v>0.12166666666666666</v>
      </c>
      <c r="G588" s="15">
        <v>0.11266666666666668</v>
      </c>
    </row>
    <row r="589" spans="1:7" x14ac:dyDescent="0.35">
      <c r="A589" s="22">
        <v>36130</v>
      </c>
      <c r="B589" s="1">
        <v>1.4226666666666665</v>
      </c>
      <c r="C589" s="1">
        <v>0.16400000000000001</v>
      </c>
      <c r="D589" s="1">
        <v>2.2596666666666665</v>
      </c>
      <c r="E589" s="1">
        <v>0.29866666666666669</v>
      </c>
      <c r="F589" s="1">
        <v>0.15633333333333332</v>
      </c>
      <c r="G589" s="15">
        <v>0</v>
      </c>
    </row>
    <row r="590" spans="1:7" x14ac:dyDescent="0.35">
      <c r="A590" s="22">
        <v>36161</v>
      </c>
      <c r="B590" s="1">
        <v>1.0913333333333333</v>
      </c>
      <c r="C590" s="1">
        <v>0.11766666666666666</v>
      </c>
      <c r="D590" s="1">
        <v>1.1866666666666668</v>
      </c>
      <c r="E590" s="1">
        <v>8.4000000000000005E-2</v>
      </c>
      <c r="F590" s="1">
        <v>0.25566666666666665</v>
      </c>
      <c r="G590" s="15">
        <v>0</v>
      </c>
    </row>
    <row r="591" spans="1:7" x14ac:dyDescent="0.35">
      <c r="A591" s="22">
        <v>36192</v>
      </c>
      <c r="B591" s="1">
        <v>1.1599999999999999</v>
      </c>
      <c r="C591" s="1">
        <v>9.799999999999999E-2</v>
      </c>
      <c r="D591" s="1">
        <v>0.81066666666666665</v>
      </c>
      <c r="E591" s="1">
        <v>5.1999999999999998E-2</v>
      </c>
      <c r="F591" s="1">
        <v>0.33966666666666662</v>
      </c>
      <c r="G591" s="15">
        <v>0</v>
      </c>
    </row>
    <row r="592" spans="1:7" x14ac:dyDescent="0.35">
      <c r="A592" s="22">
        <v>36220</v>
      </c>
      <c r="B592" s="1">
        <v>1.292</v>
      </c>
      <c r="C592" s="1">
        <v>0.34266666666666667</v>
      </c>
      <c r="D592" s="1">
        <v>0.84433333333333327</v>
      </c>
      <c r="E592" s="1">
        <v>8.5000000000000006E-2</v>
      </c>
      <c r="F592" s="1">
        <v>0.25266666666666665</v>
      </c>
      <c r="G592" s="15">
        <v>3.1686666666666667</v>
      </c>
    </row>
    <row r="593" spans="1:7" x14ac:dyDescent="0.35">
      <c r="A593" s="22">
        <v>36251</v>
      </c>
      <c r="B593" s="1">
        <v>1.8173333333333332</v>
      </c>
      <c r="C593" s="1">
        <v>0.41533333333333333</v>
      </c>
      <c r="D593" s="1">
        <v>1.0416666666666667</v>
      </c>
      <c r="E593" s="1">
        <v>0.21066666666666667</v>
      </c>
      <c r="F593" s="1">
        <v>0.19066666666666665</v>
      </c>
      <c r="G593" s="15">
        <v>0.23433333333333331</v>
      </c>
    </row>
    <row r="594" spans="1:7" x14ac:dyDescent="0.35">
      <c r="A594" s="22">
        <v>36281</v>
      </c>
      <c r="B594" s="1">
        <v>2.8143333333333334</v>
      </c>
      <c r="C594" s="1">
        <v>0.23466666666666666</v>
      </c>
      <c r="D594" s="1">
        <v>2.0116666666666667</v>
      </c>
      <c r="E594" s="1">
        <v>1.1126666666666667</v>
      </c>
      <c r="F594" s="1">
        <v>0.26133333333333336</v>
      </c>
      <c r="G594" s="15">
        <v>1.5110000000000001</v>
      </c>
    </row>
    <row r="595" spans="1:7" x14ac:dyDescent="0.35">
      <c r="A595" s="22">
        <v>36312</v>
      </c>
      <c r="B595" s="1">
        <v>9.2326666666666668</v>
      </c>
      <c r="C595" s="1">
        <v>1.4560000000000002</v>
      </c>
      <c r="D595" s="1">
        <v>23.276666666666667</v>
      </c>
      <c r="E595" s="1">
        <v>14.908666666666667</v>
      </c>
      <c r="F595" s="1">
        <v>0.20799999999999999</v>
      </c>
      <c r="G595" s="15">
        <v>5.7139999999999995</v>
      </c>
    </row>
    <row r="596" spans="1:7" x14ac:dyDescent="0.35">
      <c r="A596" s="22">
        <v>36342</v>
      </c>
      <c r="B596" s="1">
        <v>6.7836666666666661</v>
      </c>
      <c r="C596" s="1">
        <v>0.3163333333333333</v>
      </c>
      <c r="D596" s="1">
        <v>12.113333333333335</v>
      </c>
      <c r="E596" s="1">
        <v>10.559666666666667</v>
      </c>
      <c r="F596" s="1">
        <v>0.67033333333333334</v>
      </c>
      <c r="G596" s="15">
        <v>1.3129999999999999</v>
      </c>
    </row>
    <row r="597" spans="1:7" x14ac:dyDescent="0.35">
      <c r="A597" s="22">
        <v>36373</v>
      </c>
      <c r="B597" s="1">
        <v>6.6353333333333326</v>
      </c>
      <c r="C597" s="1">
        <v>1.3456666666666666</v>
      </c>
      <c r="D597" s="1">
        <v>9.3469999999999995</v>
      </c>
      <c r="E597" s="1">
        <v>12.018333333333333</v>
      </c>
      <c r="F597" s="1">
        <v>6.9766666666666666</v>
      </c>
      <c r="G597" s="15">
        <v>13.354666666666667</v>
      </c>
    </row>
    <row r="598" spans="1:7" x14ac:dyDescent="0.35">
      <c r="A598" s="22">
        <v>36404</v>
      </c>
      <c r="B598" s="1">
        <v>3.58</v>
      </c>
      <c r="C598" s="1">
        <v>0.16400000000000001</v>
      </c>
      <c r="D598" s="1">
        <v>9.5846666666666671</v>
      </c>
      <c r="E598" s="1">
        <v>6.3129999999999997</v>
      </c>
      <c r="F598" s="1">
        <v>3.8926666666666669</v>
      </c>
      <c r="G598" s="15">
        <v>0.79100000000000004</v>
      </c>
    </row>
    <row r="599" spans="1:7" x14ac:dyDescent="0.35">
      <c r="A599" s="22">
        <v>36434</v>
      </c>
      <c r="B599" s="1">
        <v>1.6813333333333331</v>
      </c>
      <c r="C599" s="1">
        <v>0.16833333333333333</v>
      </c>
      <c r="D599" s="1">
        <v>7.7283333333333326</v>
      </c>
      <c r="E599" s="1">
        <v>2.6059999999999999</v>
      </c>
      <c r="F599" s="1">
        <v>2.3130000000000002</v>
      </c>
      <c r="G599" s="15">
        <v>4.2053333333333329</v>
      </c>
    </row>
    <row r="600" spans="1:7" x14ac:dyDescent="0.35">
      <c r="A600" s="22">
        <v>36465</v>
      </c>
      <c r="B600" s="1">
        <v>1.2926666666666666</v>
      </c>
      <c r="C600" s="1">
        <v>0.17733333333333334</v>
      </c>
      <c r="D600" s="1">
        <v>5.3583333333333334</v>
      </c>
      <c r="E600" s="1">
        <v>2.4350000000000001</v>
      </c>
      <c r="F600" s="1">
        <v>1.5726666666666667</v>
      </c>
      <c r="G600" s="15">
        <v>0.126</v>
      </c>
    </row>
    <row r="601" spans="1:7" x14ac:dyDescent="0.35">
      <c r="A601" s="22">
        <v>36495</v>
      </c>
      <c r="B601" s="1">
        <v>1.42</v>
      </c>
      <c r="C601" s="1">
        <v>0.22033333333333335</v>
      </c>
      <c r="D601" s="1">
        <v>3.1786666666666665</v>
      </c>
      <c r="E601" s="1">
        <v>1.4163333333333332</v>
      </c>
      <c r="F601" s="1">
        <v>1.2843333333333333</v>
      </c>
      <c r="G601" s="15">
        <v>0</v>
      </c>
    </row>
    <row r="602" spans="1:7" x14ac:dyDescent="0.35">
      <c r="A602" s="22">
        <v>36526</v>
      </c>
      <c r="B602" s="1">
        <v>1.8499999999999999</v>
      </c>
      <c r="C602" s="1">
        <v>0.22933333333333331</v>
      </c>
      <c r="D602" s="1">
        <v>1.9283333333333335</v>
      </c>
      <c r="E602" s="1">
        <v>1.1283333333333332</v>
      </c>
      <c r="F602" s="1">
        <v>1.0589999999999999</v>
      </c>
      <c r="G602" s="15">
        <v>0</v>
      </c>
    </row>
    <row r="603" spans="1:7" x14ac:dyDescent="0.35">
      <c r="A603" s="22">
        <v>36557</v>
      </c>
      <c r="B603" s="1">
        <v>1.9863333333333333</v>
      </c>
      <c r="C603" s="1">
        <v>0.23533333333333331</v>
      </c>
      <c r="D603" s="1">
        <v>1.2686666666666666</v>
      </c>
      <c r="E603" s="1">
        <v>1.748</v>
      </c>
      <c r="F603" s="1">
        <v>1.0286666666666666</v>
      </c>
      <c r="G603" s="15">
        <v>0</v>
      </c>
    </row>
    <row r="604" spans="1:7" x14ac:dyDescent="0.35">
      <c r="A604" s="22">
        <v>36586</v>
      </c>
      <c r="B604" s="1">
        <v>3.2556666666666665</v>
      </c>
      <c r="C604" s="1">
        <v>0.18733333333333335</v>
      </c>
      <c r="D604" s="1">
        <v>0.56166666666666665</v>
      </c>
      <c r="E604" s="1">
        <v>6.1083333333333334</v>
      </c>
      <c r="F604" s="1">
        <v>0.83766666666666667</v>
      </c>
      <c r="G604" s="15">
        <v>0</v>
      </c>
    </row>
    <row r="605" spans="1:7" x14ac:dyDescent="0.35">
      <c r="A605" s="22">
        <v>36617</v>
      </c>
      <c r="B605" s="1">
        <v>1.7603333333333333</v>
      </c>
      <c r="C605" s="1">
        <v>0.40500000000000003</v>
      </c>
      <c r="D605" s="1">
        <v>0.52600000000000002</v>
      </c>
      <c r="E605" s="1">
        <v>0.72933333333333339</v>
      </c>
      <c r="F605" s="1">
        <v>0.4916666666666667</v>
      </c>
      <c r="G605" s="15">
        <v>0.56166666666666665</v>
      </c>
    </row>
    <row r="606" spans="1:7" x14ac:dyDescent="0.35">
      <c r="A606" s="22">
        <v>36647</v>
      </c>
      <c r="B606" s="1">
        <v>4.8656666666666668</v>
      </c>
      <c r="C606" s="1">
        <v>0.114</v>
      </c>
      <c r="D606" s="1">
        <v>0.31566666666666665</v>
      </c>
      <c r="E606" s="1">
        <v>0.72800000000000009</v>
      </c>
      <c r="F606" s="1">
        <v>0.26733333333333337</v>
      </c>
      <c r="G606" s="15">
        <v>5.6426666666666669</v>
      </c>
    </row>
    <row r="607" spans="1:7" x14ac:dyDescent="0.35">
      <c r="A607" s="22">
        <v>36678</v>
      </c>
      <c r="B607" s="1">
        <v>26.812999999999999</v>
      </c>
      <c r="C607" s="1">
        <v>0.61099999999999999</v>
      </c>
      <c r="D607" s="1">
        <v>5.8790000000000004</v>
      </c>
      <c r="E607" s="1">
        <v>0.82699999999999996</v>
      </c>
      <c r="F607" s="1">
        <v>0.46966666666666668</v>
      </c>
      <c r="G607" s="15">
        <v>2.1023333333333336</v>
      </c>
    </row>
    <row r="608" spans="1:7" x14ac:dyDescent="0.35">
      <c r="A608" s="22">
        <v>36708</v>
      </c>
      <c r="B608" s="1">
        <v>4.0693333333333337</v>
      </c>
      <c r="C608" s="1">
        <v>0.109</v>
      </c>
      <c r="D608" s="1">
        <v>1.8193333333333335</v>
      </c>
      <c r="E608" s="1">
        <v>1.0486666666666666</v>
      </c>
      <c r="F608" s="1">
        <v>0.11366666666666668</v>
      </c>
      <c r="G608" s="15">
        <v>0</v>
      </c>
    </row>
    <row r="609" spans="1:7" x14ac:dyDescent="0.35">
      <c r="A609" s="22">
        <v>36739</v>
      </c>
      <c r="B609" s="1">
        <v>3.954333333333333</v>
      </c>
      <c r="C609" s="1">
        <v>8.4000000000000005E-2</v>
      </c>
      <c r="D609" s="1">
        <v>0.45433333333333331</v>
      </c>
      <c r="E609" s="1">
        <v>0.505</v>
      </c>
      <c r="F609" s="1">
        <v>4.9999999999999996E-2</v>
      </c>
      <c r="G609" s="15">
        <v>0.12566666666666668</v>
      </c>
    </row>
    <row r="610" spans="1:7" x14ac:dyDescent="0.35">
      <c r="A610" s="22">
        <v>36770</v>
      </c>
      <c r="B610" s="1">
        <v>1.9716666666666667</v>
      </c>
      <c r="C610" s="1">
        <v>6.3666666666666663E-2</v>
      </c>
      <c r="D610" s="1">
        <v>0.55999999999999994</v>
      </c>
      <c r="E610" s="1">
        <v>0.63900000000000001</v>
      </c>
      <c r="F610" s="1">
        <v>8.6333333333333331E-2</v>
      </c>
      <c r="G610" s="15">
        <v>1.044</v>
      </c>
    </row>
    <row r="611" spans="1:7" x14ac:dyDescent="0.35">
      <c r="A611" s="22">
        <v>36800</v>
      </c>
      <c r="B611" s="1">
        <v>7.512666666666667</v>
      </c>
      <c r="C611" s="1">
        <v>0.51566666666666661</v>
      </c>
      <c r="D611" s="1">
        <v>3.81</v>
      </c>
      <c r="E611" s="1">
        <v>5.3666666666666668E-2</v>
      </c>
      <c r="F611" s="1">
        <v>0.3726666666666667</v>
      </c>
      <c r="G611" s="15">
        <v>6.0576666666666661</v>
      </c>
    </row>
    <row r="612" spans="1:7" x14ac:dyDescent="0.35">
      <c r="A612" s="22">
        <v>36831</v>
      </c>
      <c r="B612" s="1">
        <v>1.8310000000000002</v>
      </c>
      <c r="C612" s="1">
        <v>0.36533333333333334</v>
      </c>
      <c r="D612" s="1">
        <v>6.843</v>
      </c>
      <c r="E612" s="1">
        <v>1.5333333333333332E-2</v>
      </c>
      <c r="F612" s="1">
        <v>0.76633333333333331</v>
      </c>
      <c r="G612" s="15">
        <v>1.2949999999999999</v>
      </c>
    </row>
    <row r="613" spans="1:7" x14ac:dyDescent="0.35">
      <c r="A613" s="22">
        <v>36861</v>
      </c>
      <c r="B613" s="1">
        <v>5.9276666666666671</v>
      </c>
      <c r="C613" s="1">
        <v>0.248</v>
      </c>
      <c r="D613" s="1">
        <v>3.621</v>
      </c>
      <c r="E613" s="1">
        <v>0</v>
      </c>
      <c r="F613" s="1">
        <v>0.70066666666666666</v>
      </c>
      <c r="G613" s="15">
        <v>0.4463333333333333</v>
      </c>
    </row>
    <row r="614" spans="1:7" x14ac:dyDescent="0.35">
      <c r="A614" s="22">
        <v>36892</v>
      </c>
      <c r="B614" s="1">
        <v>15.425333333333334</v>
      </c>
      <c r="C614" s="1">
        <v>0.24066666666666667</v>
      </c>
      <c r="D614" s="1">
        <v>1.7673333333333332</v>
      </c>
      <c r="E614" s="1">
        <v>0</v>
      </c>
      <c r="F614" s="1">
        <v>0.87766666666666671</v>
      </c>
      <c r="G614" s="15">
        <v>8.0776666666666674</v>
      </c>
    </row>
    <row r="615" spans="1:7" x14ac:dyDescent="0.35">
      <c r="A615" s="22">
        <v>36923</v>
      </c>
      <c r="B615" s="1">
        <v>8.1479999999999997</v>
      </c>
      <c r="C615" s="1">
        <v>0.214</v>
      </c>
      <c r="D615" s="1">
        <v>1.5406666666666666</v>
      </c>
      <c r="E615" s="1">
        <v>0</v>
      </c>
      <c r="F615" s="1">
        <v>0.73166666666666658</v>
      </c>
      <c r="G615" s="15">
        <v>0.57333333333333336</v>
      </c>
    </row>
    <row r="616" spans="1:7" x14ac:dyDescent="0.35">
      <c r="A616" s="22">
        <v>36951</v>
      </c>
      <c r="B616" s="1">
        <v>1.5640000000000001</v>
      </c>
      <c r="C616" s="1">
        <v>0.14499999999999999</v>
      </c>
      <c r="D616" s="1">
        <v>1.006</v>
      </c>
      <c r="E616" s="1">
        <v>0</v>
      </c>
      <c r="F616" s="1">
        <v>0.77533333333333332</v>
      </c>
      <c r="G616" s="15">
        <v>1.381</v>
      </c>
    </row>
    <row r="617" spans="1:7" x14ac:dyDescent="0.35">
      <c r="A617" s="22">
        <v>36982</v>
      </c>
      <c r="B617" s="1">
        <v>1.8043333333333333</v>
      </c>
      <c r="C617" s="1">
        <v>0.10566666666666667</v>
      </c>
      <c r="D617" s="1">
        <v>0.85733333333333339</v>
      </c>
      <c r="E617" s="1">
        <v>0</v>
      </c>
      <c r="F617" s="1">
        <v>0.23433333333333331</v>
      </c>
      <c r="G617" s="15">
        <v>18.788999999999998</v>
      </c>
    </row>
    <row r="618" spans="1:7" x14ac:dyDescent="0.35">
      <c r="A618" s="22">
        <v>37012</v>
      </c>
      <c r="B618" s="1">
        <v>2.1506666666666665</v>
      </c>
      <c r="C618" s="1">
        <v>4.0333333333333332E-2</v>
      </c>
      <c r="D618" s="1">
        <v>0.60466666666666669</v>
      </c>
      <c r="E618" s="1">
        <v>1.1000000000000001E-2</v>
      </c>
      <c r="F618" s="1">
        <v>0.17266666666666666</v>
      </c>
      <c r="G618" s="15">
        <v>6.4660000000000002</v>
      </c>
    </row>
    <row r="619" spans="1:7" x14ac:dyDescent="0.35">
      <c r="A619" s="22">
        <v>37043</v>
      </c>
      <c r="B619" s="1">
        <v>1.8006666666666666</v>
      </c>
      <c r="C619" s="1">
        <v>3.1666666666666669E-2</v>
      </c>
      <c r="D619" s="1">
        <v>0.22533333333333336</v>
      </c>
      <c r="E619" s="1">
        <v>2.3333333333333334E-2</v>
      </c>
      <c r="F619" s="1">
        <v>2.7333333333333334E-2</v>
      </c>
      <c r="G619" s="15">
        <v>0.8610000000000001</v>
      </c>
    </row>
    <row r="620" spans="1:7" x14ac:dyDescent="0.35">
      <c r="A620" s="22">
        <v>37073</v>
      </c>
      <c r="B620" s="1">
        <v>3.47</v>
      </c>
      <c r="C620" s="1">
        <v>0.24466666666666667</v>
      </c>
      <c r="D620" s="1">
        <v>0.20233333333333334</v>
      </c>
      <c r="E620" s="1">
        <v>4.1333333333333333E-2</v>
      </c>
      <c r="F620" s="1">
        <v>4.4666666666666667E-2</v>
      </c>
      <c r="G620" s="15">
        <v>9.0666666666666673E-2</v>
      </c>
    </row>
    <row r="621" spans="1:7" x14ac:dyDescent="0.35">
      <c r="A621" s="22">
        <v>37104</v>
      </c>
      <c r="B621" s="1">
        <v>4.9470000000000001</v>
      </c>
      <c r="C621" s="1">
        <v>0.27233333333333332</v>
      </c>
      <c r="D621" s="1">
        <v>0.27066666666666667</v>
      </c>
      <c r="E621" s="1">
        <v>1.2333333333333333E-2</v>
      </c>
      <c r="F621" s="1">
        <v>3.8333333333333337E-2</v>
      </c>
      <c r="G621" s="15">
        <v>1.6239999999999999</v>
      </c>
    </row>
    <row r="622" spans="1:7" x14ac:dyDescent="0.35">
      <c r="A622" s="22">
        <v>37135</v>
      </c>
      <c r="B622" s="1">
        <v>1.5049999999999999</v>
      </c>
      <c r="C622" s="1">
        <v>0.92366666666666664</v>
      </c>
      <c r="D622" s="1">
        <v>2.2490000000000001</v>
      </c>
      <c r="E622" s="1">
        <v>2.5813333333333333</v>
      </c>
      <c r="F622" s="1">
        <v>0.51300000000000001</v>
      </c>
      <c r="G622" s="15">
        <v>18.78</v>
      </c>
    </row>
    <row r="623" spans="1:7" x14ac:dyDescent="0.35">
      <c r="A623" s="22">
        <v>37165</v>
      </c>
      <c r="B623" s="1">
        <v>0.85466666666666669</v>
      </c>
      <c r="C623" s="1">
        <v>2.7366666666666668E-2</v>
      </c>
      <c r="D623" s="1">
        <v>0.54366666666666663</v>
      </c>
      <c r="E623" s="1">
        <v>0.21566666666666667</v>
      </c>
      <c r="F623" s="1">
        <v>0.11699999999999999</v>
      </c>
      <c r="G623" s="15">
        <v>0.223</v>
      </c>
    </row>
    <row r="624" spans="1:7" x14ac:dyDescent="0.35">
      <c r="A624" s="22">
        <v>37196</v>
      </c>
      <c r="B624" s="1">
        <v>0.25266666666666665</v>
      </c>
      <c r="C624" s="1">
        <v>3.2533333333333338E-2</v>
      </c>
      <c r="D624" s="1">
        <v>1.4960000000000002</v>
      </c>
      <c r="E624" s="1">
        <v>2.7E-2</v>
      </c>
      <c r="F624" s="1">
        <v>0.10433333333333333</v>
      </c>
      <c r="G624" s="15">
        <v>1.3333333333333333E-3</v>
      </c>
    </row>
    <row r="625" spans="1:7" x14ac:dyDescent="0.35">
      <c r="A625" s="22">
        <v>37226</v>
      </c>
      <c r="B625" s="1">
        <v>0.33800000000000002</v>
      </c>
      <c r="C625" s="1">
        <v>4.5000000000000005E-2</v>
      </c>
      <c r="D625" s="1">
        <v>0.8570000000000001</v>
      </c>
      <c r="E625" s="1">
        <v>0</v>
      </c>
      <c r="F625" s="1">
        <v>0.12666666666666668</v>
      </c>
      <c r="G625" s="15">
        <v>0</v>
      </c>
    </row>
    <row r="626" spans="1:7" x14ac:dyDescent="0.35">
      <c r="A626" s="22">
        <v>37257</v>
      </c>
      <c r="B626" s="1">
        <v>0.36800000000000005</v>
      </c>
      <c r="C626" s="1">
        <v>6.0333333333333329E-2</v>
      </c>
      <c r="D626" s="1">
        <v>1.0133333333333334</v>
      </c>
      <c r="E626" s="1">
        <v>0</v>
      </c>
      <c r="F626" s="1">
        <v>0.19166666666666665</v>
      </c>
      <c r="G626" s="15">
        <v>0</v>
      </c>
    </row>
    <row r="627" spans="1:7" x14ac:dyDescent="0.35">
      <c r="A627" s="22">
        <v>37288</v>
      </c>
      <c r="B627" s="1">
        <v>0.32500000000000001</v>
      </c>
      <c r="C627" s="1">
        <v>5.2666666666666667E-2</v>
      </c>
      <c r="D627" s="1">
        <v>0.64766666666666672</v>
      </c>
      <c r="E627" s="1">
        <v>0</v>
      </c>
      <c r="F627" s="1">
        <v>0.32100000000000001</v>
      </c>
      <c r="G627" s="15">
        <v>0</v>
      </c>
    </row>
    <row r="628" spans="1:7" x14ac:dyDescent="0.35">
      <c r="A628" s="22">
        <v>37316</v>
      </c>
      <c r="B628" s="1">
        <v>0.73699999999999999</v>
      </c>
      <c r="C628" s="1">
        <v>6.133333333333333E-2</v>
      </c>
      <c r="D628" s="1">
        <v>0.56266666666666665</v>
      </c>
      <c r="E628" s="1">
        <v>0</v>
      </c>
      <c r="F628" s="1">
        <v>0.17800000000000002</v>
      </c>
      <c r="G628" s="15">
        <v>0</v>
      </c>
    </row>
    <row r="629" spans="1:7" x14ac:dyDescent="0.35">
      <c r="A629" s="22">
        <v>37347</v>
      </c>
      <c r="B629" s="1">
        <v>1.4646666666666668</v>
      </c>
      <c r="C629" s="1">
        <v>0.22700000000000001</v>
      </c>
      <c r="D629" s="1">
        <v>0.749</v>
      </c>
      <c r="E629" s="1">
        <v>0.20466666666666666</v>
      </c>
      <c r="F629" s="1">
        <v>0.21833333333333335</v>
      </c>
      <c r="G629" s="15">
        <v>0</v>
      </c>
    </row>
    <row r="630" spans="1:7" x14ac:dyDescent="0.35">
      <c r="A630" s="22">
        <v>37377</v>
      </c>
      <c r="B630" s="1">
        <v>1.1776666666666666</v>
      </c>
      <c r="C630" s="1">
        <v>0.26866666666666666</v>
      </c>
      <c r="D630" s="1">
        <v>1.585</v>
      </c>
      <c r="E630" s="1">
        <v>0</v>
      </c>
      <c r="F630" s="1">
        <v>0.13566666666666666</v>
      </c>
      <c r="G630" s="15">
        <v>1.0156666666666667</v>
      </c>
    </row>
    <row r="631" spans="1:7" x14ac:dyDescent="0.35">
      <c r="A631" s="22">
        <v>37408</v>
      </c>
      <c r="B631" s="1">
        <v>4.2443333333333335</v>
      </c>
      <c r="C631" s="1">
        <v>0.63166666666666671</v>
      </c>
      <c r="D631" s="1">
        <v>0.70933333333333337</v>
      </c>
      <c r="E631" s="1">
        <v>5.4666666666666674E-3</v>
      </c>
      <c r="F631" s="1">
        <v>8.7333333333333332E-2</v>
      </c>
      <c r="G631" s="15">
        <v>9.799999999999999E-2</v>
      </c>
    </row>
    <row r="632" spans="1:7" x14ac:dyDescent="0.35">
      <c r="A632" s="22">
        <v>37438</v>
      </c>
      <c r="B632" s="1">
        <v>10.566666666666666</v>
      </c>
      <c r="C632" s="1">
        <v>0.55466666666666664</v>
      </c>
      <c r="D632" s="1">
        <v>1.7776666666666667</v>
      </c>
      <c r="E632" s="1">
        <v>2.1286666666666667</v>
      </c>
      <c r="F632" s="1">
        <v>0.18366666666666667</v>
      </c>
      <c r="G632" s="15">
        <v>17.53</v>
      </c>
    </row>
    <row r="633" spans="1:7" x14ac:dyDescent="0.35">
      <c r="A633" s="22">
        <v>37469</v>
      </c>
      <c r="B633" s="1">
        <v>7.7833333333333341</v>
      </c>
      <c r="C633" s="1">
        <v>3.2266666666666666E-2</v>
      </c>
      <c r="D633" s="1">
        <v>1.7626666666666668</v>
      </c>
      <c r="E633" s="1">
        <v>2.3599999999999999E-2</v>
      </c>
      <c r="F633" s="1">
        <v>4.2333333333333334E-2</v>
      </c>
      <c r="G633" s="15">
        <v>5.2333333333333336E-2</v>
      </c>
    </row>
    <row r="634" spans="1:7" x14ac:dyDescent="0.35">
      <c r="A634" s="22">
        <v>37500</v>
      </c>
      <c r="B634" s="1">
        <v>1.3273333333333335</v>
      </c>
      <c r="C634" s="1">
        <v>0.155</v>
      </c>
      <c r="D634" s="1">
        <v>0.71433333333333326</v>
      </c>
      <c r="E634" s="1">
        <v>0.21166666666666667</v>
      </c>
      <c r="F634" s="1">
        <v>3.1966666666666664E-2</v>
      </c>
      <c r="G634" s="15">
        <v>9.8986666666666672</v>
      </c>
    </row>
    <row r="635" spans="1:7" x14ac:dyDescent="0.35">
      <c r="A635" s="22">
        <v>37530</v>
      </c>
      <c r="B635" s="1">
        <v>0.41833333333333328</v>
      </c>
      <c r="C635" s="1">
        <v>7.0159999999999991</v>
      </c>
      <c r="D635" s="1">
        <v>26.727</v>
      </c>
      <c r="E635" s="1">
        <v>27.924333333333333</v>
      </c>
      <c r="F635" s="1">
        <v>3.8583333333333329</v>
      </c>
      <c r="G635" s="15">
        <v>1.1016666666666668</v>
      </c>
    </row>
    <row r="636" spans="1:7" x14ac:dyDescent="0.35">
      <c r="A636" s="22">
        <v>37561</v>
      </c>
      <c r="B636" s="1">
        <v>0.432</v>
      </c>
      <c r="C636" s="1">
        <v>0.3193333333333333</v>
      </c>
      <c r="D636" s="1">
        <v>8.5893333333333342</v>
      </c>
      <c r="E636" s="1">
        <v>1.7713333333333334</v>
      </c>
      <c r="F636" s="1">
        <v>0.34066666666666667</v>
      </c>
      <c r="G636" s="15">
        <v>1.4593333333333334</v>
      </c>
    </row>
    <row r="637" spans="1:7" x14ac:dyDescent="0.35">
      <c r="A637" s="22">
        <v>37591</v>
      </c>
      <c r="B637" s="1">
        <v>0.40399999999999997</v>
      </c>
      <c r="C637" s="1">
        <v>0.24033333333333332</v>
      </c>
      <c r="D637" s="1">
        <v>2.569</v>
      </c>
      <c r="E637" s="1">
        <v>1.0063333333333333</v>
      </c>
      <c r="F637" s="1">
        <v>0.31133333333333335</v>
      </c>
      <c r="G637" s="15">
        <v>1.2123333333333333</v>
      </c>
    </row>
    <row r="638" spans="1:7" x14ac:dyDescent="0.35">
      <c r="A638" s="22">
        <v>37622</v>
      </c>
      <c r="B638" s="1">
        <v>0.31233333333333335</v>
      </c>
      <c r="C638" s="1">
        <v>0.24566666666666667</v>
      </c>
      <c r="D638" s="1">
        <v>1.6823333333333332</v>
      </c>
      <c r="E638" s="1">
        <v>0.69499999999999995</v>
      </c>
      <c r="F638" s="1">
        <v>0.34099999999999997</v>
      </c>
      <c r="G638" s="15">
        <v>1.181</v>
      </c>
    </row>
    <row r="639" spans="1:7" x14ac:dyDescent="0.35">
      <c r="A639" s="22">
        <v>37653</v>
      </c>
      <c r="B639" s="1">
        <v>1.3843333333333332</v>
      </c>
      <c r="C639" s="1">
        <v>0.21633333333333335</v>
      </c>
      <c r="D639" s="1">
        <v>1.6079999999999999</v>
      </c>
      <c r="E639" s="1">
        <v>0.53200000000000003</v>
      </c>
      <c r="F639" s="1">
        <v>0.42766666666666664</v>
      </c>
      <c r="G639" s="15">
        <v>1.1526666666666667</v>
      </c>
    </row>
    <row r="640" spans="1:7" x14ac:dyDescent="0.35">
      <c r="A640" s="22">
        <v>37681</v>
      </c>
      <c r="B640" s="1">
        <v>0.28999999999999998</v>
      </c>
      <c r="C640" s="1">
        <v>0.22366666666666668</v>
      </c>
      <c r="D640" s="1">
        <v>1.3676666666666666</v>
      </c>
      <c r="E640" s="1">
        <v>0.318</v>
      </c>
      <c r="F640" s="1">
        <v>0.25533333333333336</v>
      </c>
      <c r="G640" s="15">
        <v>0.80699999999999994</v>
      </c>
    </row>
    <row r="641" spans="1:7" x14ac:dyDescent="0.35">
      <c r="A641" s="22">
        <v>37712</v>
      </c>
      <c r="B641" s="1">
        <v>0.43433333333333329</v>
      </c>
      <c r="C641" s="1">
        <v>0.13999999999999999</v>
      </c>
      <c r="D641" s="1">
        <v>1.4996666666666665</v>
      </c>
      <c r="E641" s="1">
        <v>0.16300000000000001</v>
      </c>
      <c r="F641" s="1">
        <v>0.13633333333333333</v>
      </c>
      <c r="G641" s="15">
        <v>0.27899999999999997</v>
      </c>
    </row>
    <row r="642" spans="1:7" x14ac:dyDescent="0.35">
      <c r="A642" s="22">
        <v>37742</v>
      </c>
      <c r="B642" s="1">
        <v>1.194</v>
      </c>
      <c r="C642" s="1">
        <v>0.89433333333333331</v>
      </c>
      <c r="D642" s="1">
        <v>2.5379999999999998</v>
      </c>
      <c r="E642" s="1">
        <v>0.51380000000000003</v>
      </c>
      <c r="F642" s="1">
        <v>0.12233333333333334</v>
      </c>
      <c r="G642" s="15">
        <v>8.1666666666666661</v>
      </c>
    </row>
    <row r="643" spans="1:7" x14ac:dyDescent="0.35">
      <c r="A643" s="22">
        <v>37773</v>
      </c>
      <c r="B643" s="1">
        <v>5.8743333333333334</v>
      </c>
      <c r="C643" s="1">
        <v>0.33366666666666661</v>
      </c>
      <c r="D643" s="1">
        <v>4.2080000000000002</v>
      </c>
      <c r="E643" s="1">
        <v>2.4066666666666667</v>
      </c>
      <c r="F643" s="1">
        <v>1.6056666666666668</v>
      </c>
      <c r="G643" s="15">
        <v>3.4440000000000004</v>
      </c>
    </row>
    <row r="644" spans="1:7" x14ac:dyDescent="0.35">
      <c r="A644" s="22">
        <v>37803</v>
      </c>
      <c r="B644" s="1">
        <v>6.0553333333333335</v>
      </c>
      <c r="C644" s="1">
        <v>1.0693333333333335</v>
      </c>
      <c r="D644" s="1">
        <v>11.064</v>
      </c>
      <c r="E644" s="1">
        <v>3.3733333333333331</v>
      </c>
      <c r="F644" s="1">
        <v>0.8736666666666667</v>
      </c>
      <c r="G644" s="15">
        <v>0</v>
      </c>
    </row>
    <row r="645" spans="1:7" x14ac:dyDescent="0.35">
      <c r="A645" s="22">
        <v>37834</v>
      </c>
      <c r="B645" s="1">
        <v>4.0903333333333336</v>
      </c>
      <c r="C645" s="1">
        <v>0.42333333333333334</v>
      </c>
      <c r="D645" s="1">
        <v>7.9783333333333326</v>
      </c>
      <c r="E645" s="1">
        <v>1.8583333333333334</v>
      </c>
      <c r="F645" s="1">
        <v>0.20799999999999999</v>
      </c>
      <c r="G645" s="15">
        <v>0.129</v>
      </c>
    </row>
    <row r="646" spans="1:7" x14ac:dyDescent="0.35">
      <c r="A646" s="22">
        <v>37865</v>
      </c>
      <c r="B646" s="1">
        <v>2.1949999999999998</v>
      </c>
      <c r="C646" s="1">
        <v>0.60133333333333339</v>
      </c>
      <c r="D646" s="1">
        <v>6.1769999999999996</v>
      </c>
      <c r="E646" s="1">
        <v>2.3963333333333332</v>
      </c>
      <c r="F646" s="1">
        <v>0.4996666666666667</v>
      </c>
      <c r="G646" s="15">
        <v>16.063333333333333</v>
      </c>
    </row>
    <row r="647" spans="1:7" x14ac:dyDescent="0.35">
      <c r="A647" s="22">
        <v>37895</v>
      </c>
      <c r="B647" s="1">
        <v>24.455666666666669</v>
      </c>
      <c r="C647" s="1">
        <v>1.37</v>
      </c>
      <c r="D647" s="1">
        <v>9.0936666666666657</v>
      </c>
      <c r="E647" s="1">
        <v>5.45</v>
      </c>
      <c r="F647" s="1">
        <v>0.55599999999999994</v>
      </c>
      <c r="G647" s="15">
        <v>77.308999999999997</v>
      </c>
    </row>
    <row r="648" spans="1:7" x14ac:dyDescent="0.35">
      <c r="A648" s="22">
        <v>37926</v>
      </c>
      <c r="B648" s="1">
        <v>1.3396666666666668</v>
      </c>
      <c r="C648" s="1">
        <v>0.23666666666666666</v>
      </c>
      <c r="D648" s="1">
        <v>7.5563333333333338</v>
      </c>
      <c r="E648" s="1">
        <v>2.7736666666666667</v>
      </c>
      <c r="F648" s="1">
        <v>0.87266666666666659</v>
      </c>
      <c r="G648" s="15">
        <v>8.6549999999999994</v>
      </c>
    </row>
    <row r="649" spans="1:7" x14ac:dyDescent="0.35">
      <c r="A649" s="22">
        <v>37956</v>
      </c>
      <c r="B649" s="1">
        <v>1.272</v>
      </c>
      <c r="C649" s="1">
        <v>0.23366666666666666</v>
      </c>
      <c r="D649" s="1">
        <v>4.7573333333333334</v>
      </c>
      <c r="E649" s="1">
        <v>2.2346666666666666</v>
      </c>
      <c r="F649" s="1">
        <v>1.1386666666666667</v>
      </c>
      <c r="G649" s="15">
        <v>2.3753333333333333</v>
      </c>
    </row>
    <row r="650" spans="1:7" x14ac:dyDescent="0.35">
      <c r="A650" s="22">
        <v>37987</v>
      </c>
      <c r="B650" s="1">
        <v>3.5016666666666669</v>
      </c>
      <c r="C650" s="1">
        <v>0.28099999999999997</v>
      </c>
      <c r="D650" s="1">
        <v>3.5609999999999999</v>
      </c>
      <c r="E650" s="1">
        <v>2.0646666666666667</v>
      </c>
      <c r="F650" s="1">
        <v>1.2253333333333334</v>
      </c>
      <c r="G650" s="15">
        <v>1.6686666666666667</v>
      </c>
    </row>
    <row r="651" spans="1:7" x14ac:dyDescent="0.35">
      <c r="A651" s="22">
        <v>38018</v>
      </c>
      <c r="B651" s="1">
        <v>0.78799999999999992</v>
      </c>
      <c r="C651" s="1">
        <v>0.25666666666666665</v>
      </c>
      <c r="D651" s="1">
        <v>2.9939999999999998</v>
      </c>
      <c r="E651" s="1">
        <v>1.2849999999999999</v>
      </c>
      <c r="F651" s="1">
        <v>1.0936666666666668</v>
      </c>
      <c r="G651" s="15">
        <v>1.3953333333333333</v>
      </c>
    </row>
    <row r="652" spans="1:7" x14ac:dyDescent="0.35">
      <c r="A652" s="22">
        <v>38047</v>
      </c>
      <c r="B652" s="1">
        <v>20.223666666666666</v>
      </c>
      <c r="C652" s="1">
        <v>0.60033333333333327</v>
      </c>
      <c r="D652" s="1">
        <v>7.6486666666666672</v>
      </c>
      <c r="E652" s="1">
        <v>4.9186666666666667</v>
      </c>
      <c r="F652" s="1">
        <v>2.4876666666666667</v>
      </c>
      <c r="G652" s="15">
        <v>1.4749999999999999</v>
      </c>
    </row>
    <row r="653" spans="1:7" x14ac:dyDescent="0.35">
      <c r="A653" s="22">
        <v>38078</v>
      </c>
      <c r="B653" s="1">
        <v>1.24</v>
      </c>
      <c r="C653" s="1">
        <v>0.85833333333333339</v>
      </c>
      <c r="D653" s="1">
        <v>13.927666666666667</v>
      </c>
      <c r="E653" s="1">
        <v>33.145333333333333</v>
      </c>
      <c r="F653" s="1">
        <v>58.415333333333336</v>
      </c>
      <c r="G653" s="15">
        <v>8.0436666666666667</v>
      </c>
    </row>
    <row r="654" spans="1:7" x14ac:dyDescent="0.35">
      <c r="A654" s="22">
        <v>38108</v>
      </c>
      <c r="B654" s="1">
        <v>2.1143333333333332</v>
      </c>
      <c r="C654" s="1">
        <v>0.37966666666666665</v>
      </c>
      <c r="D654" s="1">
        <v>11.292333333333334</v>
      </c>
      <c r="E654" s="1">
        <v>10.727666666666666</v>
      </c>
      <c r="F654" s="1">
        <v>9.147333333333334</v>
      </c>
      <c r="G654" s="15">
        <v>4.7930000000000001</v>
      </c>
    </row>
    <row r="655" spans="1:7" x14ac:dyDescent="0.35">
      <c r="A655" s="22">
        <v>38139</v>
      </c>
      <c r="B655" s="1">
        <v>5.4663333333333339</v>
      </c>
      <c r="C655" s="1">
        <v>0.38833333333333336</v>
      </c>
      <c r="D655" s="1">
        <v>5.8133333333333335</v>
      </c>
      <c r="E655" s="1">
        <v>3.5106666666666668</v>
      </c>
      <c r="F655" s="1">
        <v>5.6739999999999995</v>
      </c>
      <c r="G655" s="15">
        <v>7.7133333333333338</v>
      </c>
    </row>
    <row r="656" spans="1:7" x14ac:dyDescent="0.35">
      <c r="A656" s="22">
        <v>38169</v>
      </c>
      <c r="B656" s="1">
        <v>12.550666666666666</v>
      </c>
      <c r="C656" s="1">
        <v>0.26566666666666666</v>
      </c>
      <c r="D656" s="1">
        <v>7.02</v>
      </c>
      <c r="E656" s="1">
        <v>2.5923333333333334</v>
      </c>
      <c r="F656" s="1">
        <v>4.1176666666666666</v>
      </c>
      <c r="G656" s="15">
        <v>5.5596666666666659</v>
      </c>
    </row>
    <row r="657" spans="1:7" x14ac:dyDescent="0.35">
      <c r="A657" s="22">
        <v>38200</v>
      </c>
      <c r="B657" s="1">
        <v>20.989000000000001</v>
      </c>
      <c r="C657" s="1">
        <v>0.22333333333333336</v>
      </c>
      <c r="D657" s="1">
        <v>6.9849999999999994</v>
      </c>
      <c r="E657" s="1">
        <v>4.2210000000000001</v>
      </c>
      <c r="F657" s="1">
        <v>4.2703333333333333</v>
      </c>
      <c r="G657" s="15">
        <v>0.27833333333333332</v>
      </c>
    </row>
    <row r="658" spans="1:7" x14ac:dyDescent="0.35">
      <c r="A658" s="22">
        <v>38231</v>
      </c>
      <c r="B658" s="1">
        <v>33.638666666666666</v>
      </c>
      <c r="C658" s="1">
        <v>0.46100000000000002</v>
      </c>
      <c r="D658" s="1">
        <v>7.7789999999999999</v>
      </c>
      <c r="E658" s="1">
        <v>4.1630000000000003</v>
      </c>
      <c r="F658" s="1">
        <v>4.7919999999999998</v>
      </c>
      <c r="G658" s="15">
        <v>8.5326666666666657</v>
      </c>
    </row>
    <row r="659" spans="1:7" x14ac:dyDescent="0.35">
      <c r="A659" s="22">
        <v>38261</v>
      </c>
      <c r="B659" s="1">
        <v>8.2026666666666674</v>
      </c>
      <c r="C659" s="1">
        <v>2.8839999999999999</v>
      </c>
      <c r="D659" s="1">
        <v>11.302999999999999</v>
      </c>
      <c r="E659" s="1">
        <v>7.3783333333333339</v>
      </c>
      <c r="F659" s="1">
        <v>5.3823333333333325</v>
      </c>
      <c r="G659" s="15">
        <v>3.97</v>
      </c>
    </row>
    <row r="660" spans="1:7" x14ac:dyDescent="0.35">
      <c r="A660" s="22">
        <v>38292</v>
      </c>
      <c r="B660" s="1">
        <v>28.058666666666667</v>
      </c>
      <c r="C660" s="1">
        <v>0.83733333333333337</v>
      </c>
      <c r="D660" s="1">
        <v>10.929666666666668</v>
      </c>
      <c r="E660" s="1">
        <v>6.8170000000000002</v>
      </c>
      <c r="F660" s="1">
        <v>4.8466666666666667</v>
      </c>
      <c r="G660" s="15">
        <v>1.5456666666666665</v>
      </c>
    </row>
    <row r="661" spans="1:7" x14ac:dyDescent="0.35">
      <c r="A661" s="22">
        <v>38322</v>
      </c>
      <c r="B661" s="1">
        <v>3.156333333333333</v>
      </c>
      <c r="C661" s="1">
        <v>0.44600000000000001</v>
      </c>
      <c r="D661" s="1">
        <v>8.9120000000000008</v>
      </c>
      <c r="E661" s="1">
        <v>4.762666666666667</v>
      </c>
      <c r="F661" s="1">
        <v>4.2873333333333337</v>
      </c>
      <c r="G661" s="15">
        <v>1.5999999999999999</v>
      </c>
    </row>
    <row r="662" spans="1:7" x14ac:dyDescent="0.35">
      <c r="A662" s="22">
        <v>38353</v>
      </c>
      <c r="B662" s="1">
        <v>6.4420000000000002</v>
      </c>
      <c r="C662" s="1">
        <v>0.38366666666666666</v>
      </c>
      <c r="D662" s="1">
        <v>5.5529999999999999</v>
      </c>
      <c r="E662" s="1">
        <v>3.6916666666666664</v>
      </c>
      <c r="F662" s="1">
        <v>3.2883333333333336</v>
      </c>
      <c r="G662" s="15">
        <v>1.6653333333333336</v>
      </c>
    </row>
    <row r="663" spans="1:7" x14ac:dyDescent="0.35">
      <c r="A663" s="22">
        <v>38384</v>
      </c>
      <c r="B663" s="1">
        <v>9.3576666666666668</v>
      </c>
      <c r="C663" s="1">
        <v>0.40100000000000002</v>
      </c>
      <c r="D663" s="1">
        <v>4.5223333333333331</v>
      </c>
      <c r="E663" s="1">
        <v>2.8083333333333336</v>
      </c>
      <c r="F663" s="1">
        <v>2.7433333333333336</v>
      </c>
      <c r="G663" s="15">
        <v>1.5436666666666667</v>
      </c>
    </row>
    <row r="664" spans="1:7" x14ac:dyDescent="0.35">
      <c r="A664" s="22">
        <v>38412</v>
      </c>
      <c r="B664" s="1">
        <v>2.1779999999999999</v>
      </c>
      <c r="C664" s="1">
        <v>0.35699999999999998</v>
      </c>
      <c r="D664" s="1">
        <v>4.9110000000000005</v>
      </c>
      <c r="E664" s="1">
        <v>1.7353333333333334</v>
      </c>
      <c r="F664" s="1">
        <v>2.6586666666666665</v>
      </c>
      <c r="G664" s="15">
        <v>1.3413333333333333</v>
      </c>
    </row>
    <row r="665" spans="1:7" x14ac:dyDescent="0.35">
      <c r="A665" s="22">
        <v>38443</v>
      </c>
      <c r="B665" s="1">
        <v>1.1636666666666666</v>
      </c>
      <c r="C665" s="1">
        <v>0.22</v>
      </c>
      <c r="D665" s="1">
        <v>2.169</v>
      </c>
      <c r="E665" s="1">
        <v>0.40466666666666667</v>
      </c>
      <c r="F665" s="1">
        <v>1.5966666666666667</v>
      </c>
      <c r="G665" s="15">
        <v>0.23599999999999999</v>
      </c>
    </row>
    <row r="666" spans="1:7" x14ac:dyDescent="0.35">
      <c r="A666" s="22">
        <v>38473</v>
      </c>
      <c r="B666" s="1">
        <v>2.3183333333333334</v>
      </c>
      <c r="C666" s="1">
        <v>0.43133333333333335</v>
      </c>
      <c r="D666" s="1">
        <v>1.8773333333333333</v>
      </c>
      <c r="E666" s="1">
        <v>0.27566666666666667</v>
      </c>
      <c r="F666" s="1">
        <v>1.5646666666666667</v>
      </c>
      <c r="G666" s="15">
        <v>1.385</v>
      </c>
    </row>
    <row r="667" spans="1:7" x14ac:dyDescent="0.35">
      <c r="A667" s="22">
        <v>38504</v>
      </c>
      <c r="B667" s="1">
        <v>1.0916666666666666</v>
      </c>
      <c r="C667" s="1">
        <v>0.16</v>
      </c>
      <c r="D667" s="1">
        <v>2.1013333333333333</v>
      </c>
      <c r="E667" s="1">
        <v>0.48</v>
      </c>
      <c r="F667" s="1">
        <v>1.8083333333333333</v>
      </c>
      <c r="G667" s="15">
        <v>2.6800000000000001E-2</v>
      </c>
    </row>
    <row r="668" spans="1:7" x14ac:dyDescent="0.35">
      <c r="A668" s="22">
        <v>38534</v>
      </c>
      <c r="B668" s="1">
        <v>1.8676666666666666</v>
      </c>
      <c r="C668" s="1">
        <v>0.18766666666666665</v>
      </c>
      <c r="D668" s="1">
        <v>0.59433333333333327</v>
      </c>
      <c r="E668" s="1">
        <v>0.22833333333333336</v>
      </c>
      <c r="F668" s="1">
        <v>0.70833333333333337</v>
      </c>
      <c r="G668" s="15">
        <v>19.305666666666667</v>
      </c>
    </row>
    <row r="669" spans="1:7" x14ac:dyDescent="0.35">
      <c r="A669" s="22">
        <v>38565</v>
      </c>
      <c r="B669" s="1">
        <v>12.741333333333332</v>
      </c>
      <c r="C669" s="1">
        <v>0.12633333333333333</v>
      </c>
      <c r="D669" s="1">
        <v>0.79233333333333322</v>
      </c>
      <c r="E669" s="1">
        <v>0.25866666666666666</v>
      </c>
      <c r="F669" s="1">
        <v>0.72133333333333338</v>
      </c>
      <c r="G669" s="15">
        <v>36.81433333333333</v>
      </c>
    </row>
    <row r="670" spans="1:7" x14ac:dyDescent="0.35">
      <c r="A670" s="22">
        <v>38596</v>
      </c>
      <c r="B670" s="1">
        <v>3.2676666666666669</v>
      </c>
      <c r="C670" s="1">
        <v>6.0333333333333329E-2</v>
      </c>
      <c r="D670" s="1">
        <v>0.34</v>
      </c>
      <c r="E670" s="1">
        <v>0.27899999999999997</v>
      </c>
      <c r="F670" s="1">
        <v>0.44733333333333336</v>
      </c>
      <c r="G670" s="15">
        <v>1.5890000000000002</v>
      </c>
    </row>
    <row r="671" spans="1:7" x14ac:dyDescent="0.35">
      <c r="A671" s="22">
        <v>38626</v>
      </c>
      <c r="B671" s="1">
        <v>10.584666666666667</v>
      </c>
      <c r="C671" s="1">
        <v>4.4169999999999998</v>
      </c>
      <c r="D671" s="1">
        <v>23.59566666666667</v>
      </c>
      <c r="E671" s="1">
        <v>28.106333333333335</v>
      </c>
      <c r="F671" s="1">
        <v>1.2656666666666667</v>
      </c>
      <c r="G671" s="15">
        <v>6.511333333333333</v>
      </c>
    </row>
    <row r="672" spans="1:7" x14ac:dyDescent="0.35">
      <c r="A672" s="22">
        <v>38657</v>
      </c>
      <c r="B672" s="1">
        <v>1.4686666666666666</v>
      </c>
      <c r="C672" s="1">
        <v>0.23966666666666667</v>
      </c>
      <c r="D672" s="1">
        <v>7.594666666666666</v>
      </c>
      <c r="E672" s="1">
        <v>7.1439999999999992</v>
      </c>
      <c r="F672" s="1">
        <v>1.1580000000000001</v>
      </c>
      <c r="G672" s="15">
        <v>2.529666666666667</v>
      </c>
    </row>
    <row r="673" spans="1:7" x14ac:dyDescent="0.35">
      <c r="A673" s="22">
        <v>38687</v>
      </c>
      <c r="B673" s="1">
        <v>1.2633333333333334</v>
      </c>
      <c r="C673" s="1">
        <v>0.30833333333333335</v>
      </c>
      <c r="D673" s="1">
        <v>5.0230000000000006</v>
      </c>
      <c r="E673" s="1">
        <v>2.12</v>
      </c>
      <c r="F673" s="1">
        <v>1.3076666666666668</v>
      </c>
      <c r="G673" s="15">
        <v>1.7986666666666666</v>
      </c>
    </row>
    <row r="674" spans="1:7" x14ac:dyDescent="0.35">
      <c r="A674" s="22">
        <v>38718</v>
      </c>
      <c r="B674" s="1">
        <v>0.63733333333333331</v>
      </c>
      <c r="C674" s="1">
        <v>0.26400000000000001</v>
      </c>
      <c r="D674" s="1">
        <v>3.5739999999999998</v>
      </c>
      <c r="E674" s="1">
        <v>8.1000000000000003E-2</v>
      </c>
      <c r="F674" s="1">
        <v>1.2826666666666666</v>
      </c>
      <c r="G674" s="15">
        <v>1.8129999999999999</v>
      </c>
    </row>
    <row r="675" spans="1:7" x14ac:dyDescent="0.35">
      <c r="A675" s="22">
        <v>38749</v>
      </c>
      <c r="B675" s="1">
        <v>0.46533333333333332</v>
      </c>
      <c r="C675" s="1">
        <v>0.23766666666666666</v>
      </c>
      <c r="D675" s="1">
        <v>2.0016666666666665</v>
      </c>
      <c r="E675" s="1">
        <v>0</v>
      </c>
      <c r="F675" s="1">
        <v>1.2576666666666667</v>
      </c>
      <c r="G675" s="15">
        <v>1.5533333333333335</v>
      </c>
    </row>
    <row r="676" spans="1:7" x14ac:dyDescent="0.35">
      <c r="A676" s="22">
        <v>38777</v>
      </c>
      <c r="B676" s="1">
        <v>6.0426666666666664</v>
      </c>
      <c r="C676" s="1">
        <v>0.23566666666666666</v>
      </c>
      <c r="D676" s="1">
        <v>1.4269999999999998</v>
      </c>
      <c r="E676" s="1">
        <v>5.7666666666666665E-2</v>
      </c>
      <c r="F676" s="1">
        <v>0.87699999999999989</v>
      </c>
      <c r="G676" s="15">
        <v>1.4733333333333334</v>
      </c>
    </row>
    <row r="677" spans="1:7" x14ac:dyDescent="0.35">
      <c r="A677" s="22">
        <v>38808</v>
      </c>
      <c r="B677" s="1">
        <v>10.054</v>
      </c>
      <c r="C677" s="1">
        <v>0.14733333333333334</v>
      </c>
      <c r="D677" s="1">
        <v>0.505</v>
      </c>
      <c r="E677" s="1">
        <v>7.3333333333333334E-2</v>
      </c>
      <c r="F677" s="1">
        <v>0.59566666666666668</v>
      </c>
      <c r="G677" s="15">
        <v>1.3966666666666667</v>
      </c>
    </row>
    <row r="678" spans="1:7" x14ac:dyDescent="0.35">
      <c r="A678" s="22">
        <v>38838</v>
      </c>
      <c r="B678" s="1">
        <v>4.7779999999999996</v>
      </c>
      <c r="C678" s="1">
        <v>0.35366666666666663</v>
      </c>
      <c r="D678" s="1">
        <v>0.32866666666666666</v>
      </c>
      <c r="E678" s="1">
        <v>6.8999999999999999E-3</v>
      </c>
      <c r="F678" s="1">
        <v>0.45466666666666672</v>
      </c>
      <c r="G678" s="15">
        <v>2.4543333333333335</v>
      </c>
    </row>
    <row r="679" spans="1:7" x14ac:dyDescent="0.35">
      <c r="A679" s="22">
        <v>38869</v>
      </c>
      <c r="B679" s="1">
        <v>0.7596666666666666</v>
      </c>
      <c r="C679" s="1">
        <v>7.5333333333333335E-2</v>
      </c>
      <c r="D679" s="1">
        <v>0.28433333333333333</v>
      </c>
      <c r="E679" s="1">
        <v>0</v>
      </c>
      <c r="F679" s="1">
        <v>0.11333333333333334</v>
      </c>
      <c r="G679" s="15">
        <v>0.47766666666666668</v>
      </c>
    </row>
    <row r="680" spans="1:7" x14ac:dyDescent="0.35">
      <c r="A680" s="22">
        <v>38899</v>
      </c>
      <c r="B680" s="1">
        <v>2.4676666666666667</v>
      </c>
      <c r="C680" s="1">
        <v>5.7999999999999996E-2</v>
      </c>
      <c r="D680" s="1">
        <v>0.46466666666666662</v>
      </c>
      <c r="E680" s="1">
        <v>0</v>
      </c>
      <c r="F680" s="1">
        <v>0.12166666666666666</v>
      </c>
      <c r="G680" s="15">
        <v>0.89933333333333332</v>
      </c>
    </row>
    <row r="681" spans="1:7" x14ac:dyDescent="0.35">
      <c r="A681" s="22">
        <v>38930</v>
      </c>
      <c r="B681" s="1">
        <v>12.313000000000001</v>
      </c>
      <c r="C681" s="1">
        <v>5.4333333333333338E-2</v>
      </c>
      <c r="D681" s="1">
        <v>0.55799999999999994</v>
      </c>
      <c r="E681" s="1">
        <v>0</v>
      </c>
      <c r="F681" s="1">
        <v>6.433333333333334E-2</v>
      </c>
      <c r="G681" s="15">
        <v>0.7403333333333334</v>
      </c>
    </row>
    <row r="682" spans="1:7" x14ac:dyDescent="0.35">
      <c r="A682" s="22">
        <v>38961</v>
      </c>
      <c r="B682" s="1">
        <v>85.550666666666658</v>
      </c>
      <c r="C682" s="1">
        <v>0.10266666666666667</v>
      </c>
      <c r="D682" s="1">
        <v>0.88300000000000001</v>
      </c>
      <c r="E682" s="1">
        <v>0.88533333333333342</v>
      </c>
      <c r="F682" s="1">
        <v>0.253</v>
      </c>
      <c r="G682" s="15">
        <v>28.879000000000001</v>
      </c>
    </row>
    <row r="683" spans="1:7" x14ac:dyDescent="0.35">
      <c r="A683" s="22">
        <v>38991</v>
      </c>
      <c r="B683" s="1">
        <v>26.731999999999999</v>
      </c>
      <c r="C683" s="1">
        <v>7.8E-2</v>
      </c>
      <c r="D683" s="1">
        <v>0.81400000000000006</v>
      </c>
      <c r="E683" s="1">
        <v>3.1666666666666666E-3</v>
      </c>
      <c r="F683" s="1">
        <v>0.18266666666666667</v>
      </c>
      <c r="G683" s="15">
        <v>7.4676666666666662</v>
      </c>
    </row>
    <row r="684" spans="1:7" x14ac:dyDescent="0.35">
      <c r="A684" s="22">
        <v>39022</v>
      </c>
      <c r="B684" s="1">
        <v>2.8513333333333333</v>
      </c>
      <c r="C684" s="1">
        <v>9.4333333333333325E-2</v>
      </c>
      <c r="D684" s="1">
        <v>0.58433333333333326</v>
      </c>
      <c r="E684" s="1">
        <v>0</v>
      </c>
      <c r="F684" s="1">
        <v>0.22766666666666668</v>
      </c>
      <c r="G684" s="15">
        <v>1.1943333333333335</v>
      </c>
    </row>
    <row r="685" spans="1:7" x14ac:dyDescent="0.35">
      <c r="A685" s="22">
        <v>39052</v>
      </c>
      <c r="B685" s="1">
        <v>1.5443333333333333</v>
      </c>
      <c r="C685" s="1">
        <v>0.14433333333333334</v>
      </c>
      <c r="D685" s="1">
        <v>0.6333333333333333</v>
      </c>
      <c r="E685" s="1">
        <v>0</v>
      </c>
      <c r="F685" s="1">
        <v>0.35400000000000004</v>
      </c>
      <c r="G685" s="15">
        <v>1.3366666666666667</v>
      </c>
    </row>
    <row r="686" spans="1:7" x14ac:dyDescent="0.35">
      <c r="A686" s="22">
        <v>39083</v>
      </c>
      <c r="B686" s="1">
        <v>1.3663333333333334</v>
      </c>
      <c r="C686" s="1">
        <v>0.31866666666666665</v>
      </c>
      <c r="D686" s="1">
        <v>1.1519999999999999</v>
      </c>
      <c r="E686" s="1">
        <v>0</v>
      </c>
      <c r="F686" s="1">
        <v>0.47333333333333333</v>
      </c>
      <c r="G686" s="15">
        <v>1.46</v>
      </c>
    </row>
    <row r="687" spans="1:7" x14ac:dyDescent="0.35">
      <c r="A687" s="22">
        <v>39114</v>
      </c>
      <c r="B687" s="1">
        <v>0.64733333333333332</v>
      </c>
      <c r="C687" s="1">
        <v>0.20199999999999999</v>
      </c>
      <c r="D687" s="1">
        <v>0.90466666666666662</v>
      </c>
      <c r="E687" s="1">
        <v>0</v>
      </c>
      <c r="F687" s="1">
        <v>0.51433333333333331</v>
      </c>
      <c r="G687" s="15">
        <v>1.1916666666666667</v>
      </c>
    </row>
    <row r="688" spans="1:7" x14ac:dyDescent="0.35">
      <c r="A688" s="22">
        <v>39142</v>
      </c>
      <c r="B688" s="1">
        <v>18.841666666666665</v>
      </c>
      <c r="C688" s="1">
        <v>0.57666666666666666</v>
      </c>
      <c r="D688" s="1">
        <v>0.94799999999999995</v>
      </c>
      <c r="E688" s="1">
        <v>0</v>
      </c>
      <c r="F688" s="1">
        <v>0.47966666666666669</v>
      </c>
      <c r="G688" s="15">
        <v>0.81599999999999995</v>
      </c>
    </row>
    <row r="689" spans="1:7" x14ac:dyDescent="0.35">
      <c r="A689" s="22">
        <v>39173</v>
      </c>
      <c r="B689" s="1">
        <v>5.7776666666666658</v>
      </c>
      <c r="C689" s="1">
        <v>0.217</v>
      </c>
      <c r="D689" s="1">
        <v>2.0476666666666667</v>
      </c>
      <c r="E689" s="1">
        <v>0</v>
      </c>
      <c r="F689" s="1">
        <v>0.30499999999999999</v>
      </c>
      <c r="G689" s="15">
        <v>0.93933333333333335</v>
      </c>
    </row>
    <row r="690" spans="1:7" x14ac:dyDescent="0.35">
      <c r="A690" s="22">
        <v>39203</v>
      </c>
      <c r="B690" s="1">
        <v>7.6016666666666666</v>
      </c>
      <c r="C690" s="1">
        <v>1.4233333333333331</v>
      </c>
      <c r="D690" s="1">
        <v>7.5186666666666673</v>
      </c>
      <c r="E690" s="1">
        <v>0</v>
      </c>
      <c r="F690" s="1">
        <v>1.0919999999999999</v>
      </c>
      <c r="G690" s="15">
        <v>4.5190000000000001</v>
      </c>
    </row>
    <row r="691" spans="1:7" x14ac:dyDescent="0.35">
      <c r="A691" s="22">
        <v>39234</v>
      </c>
      <c r="B691" s="1">
        <v>10.760333333333334</v>
      </c>
      <c r="C691" s="1">
        <v>0.3666666666666667</v>
      </c>
      <c r="D691" s="1">
        <v>5.8339999999999996</v>
      </c>
      <c r="E691" s="1">
        <v>4.1666666666666664E-2</v>
      </c>
      <c r="F691" s="1">
        <v>0.90933333333333344</v>
      </c>
      <c r="G691" s="15">
        <v>9.2593333333333323</v>
      </c>
    </row>
    <row r="692" spans="1:7" x14ac:dyDescent="0.35">
      <c r="A692" s="22">
        <v>39264</v>
      </c>
      <c r="B692" s="1">
        <v>14.981</v>
      </c>
      <c r="C692" s="1">
        <v>0.55366666666666664</v>
      </c>
      <c r="D692" s="1">
        <v>6.6749999999999998</v>
      </c>
      <c r="E692" s="1">
        <v>4.609</v>
      </c>
      <c r="F692" s="1">
        <v>1.2190000000000001</v>
      </c>
      <c r="G692" s="15">
        <v>10.341666666666667</v>
      </c>
    </row>
    <row r="693" spans="1:7" x14ac:dyDescent="0.35">
      <c r="A693" s="22">
        <v>39295</v>
      </c>
      <c r="B693" s="1">
        <v>20.673333333333336</v>
      </c>
      <c r="C693" s="1">
        <v>0.33466666666666667</v>
      </c>
      <c r="D693" s="1">
        <v>8.5239999999999991</v>
      </c>
      <c r="E693" s="1">
        <v>5.2213333333333329</v>
      </c>
      <c r="F693" s="1">
        <v>3.9293333333333336</v>
      </c>
      <c r="G693" s="15">
        <v>2.2090000000000001</v>
      </c>
    </row>
    <row r="694" spans="1:7" x14ac:dyDescent="0.35">
      <c r="A694" s="22">
        <v>39326</v>
      </c>
      <c r="B694" s="1">
        <v>14.851999999999999</v>
      </c>
      <c r="C694" s="1">
        <v>0.98699999999999999</v>
      </c>
      <c r="D694" s="1">
        <v>7.3959999999999999</v>
      </c>
      <c r="E694" s="1">
        <v>7.1209999999999996</v>
      </c>
      <c r="F694" s="1">
        <v>4.3146666666666667</v>
      </c>
      <c r="G694" s="15">
        <v>22.59266666666667</v>
      </c>
    </row>
    <row r="695" spans="1:7" x14ac:dyDescent="0.35">
      <c r="A695" s="22">
        <v>39356</v>
      </c>
      <c r="B695" s="1">
        <v>8.0303333333333331</v>
      </c>
      <c r="C695" s="1">
        <v>0.23066666666666666</v>
      </c>
      <c r="D695" s="1">
        <v>5.6046666666666667</v>
      </c>
      <c r="E695" s="1">
        <v>3.8759999999999999</v>
      </c>
      <c r="F695" s="1">
        <v>3.0060000000000002</v>
      </c>
      <c r="G695" s="15">
        <v>1.1119999999999999</v>
      </c>
    </row>
    <row r="696" spans="1:7" x14ac:dyDescent="0.35">
      <c r="A696" s="22">
        <v>39387</v>
      </c>
      <c r="B696" s="1">
        <v>0.92966666666666675</v>
      </c>
      <c r="C696" s="1">
        <v>0.21533333333333335</v>
      </c>
      <c r="D696" s="1">
        <v>4.3709999999999996</v>
      </c>
      <c r="E696" s="1">
        <v>0.17900000000000002</v>
      </c>
      <c r="F696" s="1">
        <v>1.9856666666666667</v>
      </c>
      <c r="G696" s="15">
        <v>0.6293333333333333</v>
      </c>
    </row>
    <row r="697" spans="1:7" x14ac:dyDescent="0.35">
      <c r="A697" s="22">
        <v>39417</v>
      </c>
      <c r="B697" s="1">
        <v>0.81933333333333336</v>
      </c>
      <c r="C697" s="1">
        <v>0.32600000000000001</v>
      </c>
      <c r="D697" s="1">
        <v>3.4643333333333337</v>
      </c>
      <c r="E697" s="1">
        <v>0.7486666666666667</v>
      </c>
      <c r="F697" s="1">
        <v>1.7523333333333333</v>
      </c>
      <c r="G697" s="15">
        <v>0.97000000000000008</v>
      </c>
    </row>
    <row r="698" spans="1:7" x14ac:dyDescent="0.35">
      <c r="A698" s="22">
        <v>39448</v>
      </c>
      <c r="B698" s="1">
        <v>0.72733333333333328</v>
      </c>
      <c r="C698" s="1">
        <v>0.27666666666666667</v>
      </c>
      <c r="D698" s="1">
        <v>2.4203333333333332</v>
      </c>
      <c r="E698" s="1">
        <v>0.7546666666666666</v>
      </c>
      <c r="F698" s="1">
        <v>1.6529999999999998</v>
      </c>
      <c r="G698" s="15">
        <v>1.0813333333333335</v>
      </c>
    </row>
    <row r="699" spans="1:7" x14ac:dyDescent="0.35">
      <c r="A699" s="22">
        <v>39479</v>
      </c>
      <c r="B699" s="1">
        <v>0.71033333333333326</v>
      </c>
      <c r="C699" s="1">
        <v>0.23033333333333331</v>
      </c>
      <c r="D699" s="1">
        <v>1.6219999999999999</v>
      </c>
      <c r="E699" s="1">
        <v>0.35800000000000004</v>
      </c>
      <c r="F699" s="1">
        <v>1.5373333333333334</v>
      </c>
      <c r="G699" s="15">
        <v>0.73799999999999999</v>
      </c>
    </row>
    <row r="700" spans="1:7" x14ac:dyDescent="0.35">
      <c r="A700" s="22">
        <v>39508</v>
      </c>
      <c r="B700" s="1">
        <v>1.2373333333333334</v>
      </c>
      <c r="C700" s="1">
        <v>0.25666666666666665</v>
      </c>
      <c r="D700" s="1">
        <v>0.68466666666666665</v>
      </c>
      <c r="E700" s="1">
        <v>0.40266666666666667</v>
      </c>
      <c r="F700" s="1">
        <v>1.1566666666666667</v>
      </c>
      <c r="G700" s="15">
        <v>0.56399999999999995</v>
      </c>
    </row>
    <row r="701" spans="1:7" x14ac:dyDescent="0.35">
      <c r="A701" s="22">
        <v>39539</v>
      </c>
      <c r="B701" s="1">
        <v>0.90333333333333332</v>
      </c>
      <c r="C701" s="1">
        <v>0.13966666666666666</v>
      </c>
      <c r="D701" s="1">
        <v>0.51433333333333331</v>
      </c>
      <c r="E701" s="1">
        <v>0.15566666666666668</v>
      </c>
      <c r="F701" s="1">
        <v>0.81</v>
      </c>
      <c r="G701" s="15">
        <v>0.18966666666666665</v>
      </c>
    </row>
    <row r="702" spans="1:7" x14ac:dyDescent="0.35">
      <c r="A702" s="22">
        <v>39569</v>
      </c>
      <c r="B702" s="1">
        <v>1.1753333333333333</v>
      </c>
      <c r="C702" s="1">
        <v>7.0333333333333331E-2</v>
      </c>
      <c r="D702" s="1">
        <v>1.196</v>
      </c>
      <c r="E702" s="1">
        <v>0.72599999999999998</v>
      </c>
      <c r="F702" s="1">
        <v>0.96233333333333337</v>
      </c>
      <c r="G702" s="15">
        <v>0.59466666666666668</v>
      </c>
    </row>
    <row r="703" spans="1:7" x14ac:dyDescent="0.35">
      <c r="A703" s="22">
        <v>39600</v>
      </c>
      <c r="B703" s="1">
        <v>2.2426666666666666</v>
      </c>
      <c r="C703" s="1">
        <v>6.7000000000000004E-2</v>
      </c>
      <c r="D703" s="1">
        <v>0.43966666666666665</v>
      </c>
      <c r="E703" s="1">
        <v>1.3533333333333333E-2</v>
      </c>
      <c r="F703" s="1">
        <v>0.27866666666666667</v>
      </c>
      <c r="G703" s="15">
        <v>0.37999999999999995</v>
      </c>
    </row>
    <row r="704" spans="1:7" x14ac:dyDescent="0.35">
      <c r="A704" s="22">
        <v>39630</v>
      </c>
      <c r="B704" s="1">
        <v>13.090000000000002</v>
      </c>
      <c r="C704" s="1">
        <v>0.14066666666666666</v>
      </c>
      <c r="D704" s="1">
        <v>1.9373333333333334</v>
      </c>
      <c r="E704" s="1">
        <v>0</v>
      </c>
      <c r="F704" s="1">
        <v>0.16233333333333333</v>
      </c>
      <c r="G704" s="15">
        <v>3.0156666666666667</v>
      </c>
    </row>
    <row r="705" spans="1:7" x14ac:dyDescent="0.35">
      <c r="A705" s="22">
        <v>39661</v>
      </c>
      <c r="B705" s="1">
        <v>15.625666666666667</v>
      </c>
      <c r="C705" s="1">
        <v>3.3196666666666665</v>
      </c>
      <c r="D705" s="1">
        <v>7.0910000000000002</v>
      </c>
      <c r="E705" s="1">
        <v>17.311666666666667</v>
      </c>
      <c r="F705" s="1">
        <v>1.0093333333333334</v>
      </c>
      <c r="G705" s="15">
        <v>11.235333333333335</v>
      </c>
    </row>
    <row r="706" spans="1:7" x14ac:dyDescent="0.35">
      <c r="A706" s="22">
        <v>39692</v>
      </c>
      <c r="B706" s="1">
        <v>624.4473333333334</v>
      </c>
      <c r="C706" s="1">
        <v>0.39700000000000002</v>
      </c>
      <c r="D706" s="1">
        <v>14.186999999999999</v>
      </c>
      <c r="E706" s="1">
        <v>30.623000000000001</v>
      </c>
      <c r="F706" s="1">
        <v>10.394</v>
      </c>
      <c r="G706" s="15">
        <v>14.752666666666668</v>
      </c>
    </row>
    <row r="707" spans="1:7" x14ac:dyDescent="0.35">
      <c r="A707" s="22">
        <v>39722</v>
      </c>
      <c r="B707" s="1">
        <v>229.88166666666666</v>
      </c>
      <c r="C707" s="1">
        <v>0.29733333333333334</v>
      </c>
      <c r="D707" s="1">
        <v>12.24</v>
      </c>
      <c r="E707" s="1">
        <v>6.7523333333333335</v>
      </c>
      <c r="F707" s="1">
        <v>7.4249999999999998</v>
      </c>
      <c r="G707" s="15">
        <v>133.845</v>
      </c>
    </row>
    <row r="708" spans="1:7" x14ac:dyDescent="0.35">
      <c r="A708" s="22">
        <v>39753</v>
      </c>
      <c r="B708" s="1">
        <v>12.135</v>
      </c>
      <c r="C708" s="1">
        <v>0.20966666666666667</v>
      </c>
      <c r="D708" s="1">
        <v>8.927999999999999</v>
      </c>
      <c r="E708" s="1">
        <v>4.7443333333333335</v>
      </c>
      <c r="F708" s="1">
        <v>5.33</v>
      </c>
      <c r="G708" s="15">
        <v>79.660666666666671</v>
      </c>
    </row>
    <row r="709" spans="1:7" x14ac:dyDescent="0.35">
      <c r="A709" s="22">
        <v>39783</v>
      </c>
      <c r="B709" s="1">
        <v>4.9373333333333331</v>
      </c>
      <c r="C709" s="1">
        <v>0.35333333333333333</v>
      </c>
      <c r="D709" s="1">
        <v>7.9443333333333328</v>
      </c>
      <c r="E709" s="1">
        <v>3.7553333333333332</v>
      </c>
      <c r="F709" s="1">
        <v>5.1116666666666672</v>
      </c>
      <c r="G709" s="15">
        <v>14.321333333333333</v>
      </c>
    </row>
    <row r="710" spans="1:7" x14ac:dyDescent="0.35">
      <c r="A710" s="22">
        <v>39814</v>
      </c>
      <c r="B710" s="1">
        <v>3.6</v>
      </c>
      <c r="C710" s="1">
        <v>0.39033333333333337</v>
      </c>
      <c r="D710" s="1">
        <v>6.7220000000000004</v>
      </c>
      <c r="E710" s="1">
        <v>3.4323333333333337</v>
      </c>
      <c r="F710" s="1">
        <v>4.6206666666666667</v>
      </c>
      <c r="G710" s="15">
        <v>40.354666666666667</v>
      </c>
    </row>
    <row r="711" spans="1:7" x14ac:dyDescent="0.35">
      <c r="A711" s="22">
        <v>39845</v>
      </c>
      <c r="B711" s="1">
        <v>1.6976666666666667</v>
      </c>
      <c r="C711" s="1">
        <v>0.26900000000000002</v>
      </c>
      <c r="D711" s="1">
        <v>3.0230000000000001</v>
      </c>
      <c r="E711" s="1">
        <v>2.464</v>
      </c>
      <c r="F711" s="1">
        <v>3.5326666666666671</v>
      </c>
      <c r="G711" s="15">
        <v>17.334666666666667</v>
      </c>
    </row>
    <row r="712" spans="1:7" x14ac:dyDescent="0.35">
      <c r="A712" s="22">
        <v>39873</v>
      </c>
      <c r="B712" s="1">
        <v>2.5680000000000001</v>
      </c>
      <c r="C712" s="1">
        <v>0.39133333333333331</v>
      </c>
      <c r="D712" s="1">
        <v>2.2656666666666667</v>
      </c>
      <c r="E712" s="1">
        <v>2.4969999999999999</v>
      </c>
      <c r="F712" s="1">
        <v>3.08</v>
      </c>
      <c r="G712" s="15">
        <v>7.1773333333333333</v>
      </c>
    </row>
    <row r="713" spans="1:7" x14ac:dyDescent="0.35">
      <c r="A713" s="22">
        <v>39904</v>
      </c>
      <c r="B713" s="1">
        <v>1.2486666666666666</v>
      </c>
      <c r="C713" s="1">
        <v>0.24866666666666667</v>
      </c>
      <c r="D713" s="1">
        <v>0.86199999999999999</v>
      </c>
      <c r="E713" s="1">
        <v>0.80900000000000005</v>
      </c>
      <c r="F713" s="1">
        <v>1.7736666666666665</v>
      </c>
      <c r="G713" s="15">
        <v>4.5563333333333338</v>
      </c>
    </row>
    <row r="714" spans="1:7" x14ac:dyDescent="0.35">
      <c r="A714" s="22">
        <v>39934</v>
      </c>
      <c r="B714" s="1">
        <v>32.273333333333333</v>
      </c>
      <c r="C714" s="1">
        <v>9.4333333333333325E-2</v>
      </c>
      <c r="D714" s="1">
        <v>0.9943333333333334</v>
      </c>
      <c r="E714" s="1">
        <v>0.42633333333333329</v>
      </c>
      <c r="F714" s="1">
        <v>1.3963333333333334</v>
      </c>
      <c r="G714" s="15">
        <v>5.0923333333333334</v>
      </c>
    </row>
    <row r="715" spans="1:7" x14ac:dyDescent="0.35">
      <c r="A715" s="22">
        <v>39965</v>
      </c>
      <c r="B715" s="1">
        <v>34.122</v>
      </c>
      <c r="C715" s="1">
        <v>0.32533333333333331</v>
      </c>
      <c r="D715" s="1">
        <v>1.3579999999999999</v>
      </c>
      <c r="E715" s="1">
        <v>0.13666666666666666</v>
      </c>
      <c r="F715" s="1">
        <v>0.70199999999999996</v>
      </c>
      <c r="G715" s="15">
        <v>3.7153333333333336</v>
      </c>
    </row>
    <row r="716" spans="1:7" x14ac:dyDescent="0.35">
      <c r="A716" s="22">
        <v>39995</v>
      </c>
      <c r="B716" s="1">
        <v>6.8550000000000004</v>
      </c>
      <c r="C716" s="1">
        <v>7.3333333333333334E-2</v>
      </c>
      <c r="D716" s="1">
        <v>1.1506666666666667</v>
      </c>
      <c r="E716" s="1">
        <v>0.16533333333333333</v>
      </c>
      <c r="F716" s="1">
        <v>0.41766666666666663</v>
      </c>
      <c r="G716" s="15">
        <v>2.2399999999999998</v>
      </c>
    </row>
    <row r="717" spans="1:7" x14ac:dyDescent="0.35">
      <c r="A717" s="22">
        <v>40026</v>
      </c>
      <c r="B717" s="1">
        <v>5.4359999999999999</v>
      </c>
      <c r="C717" s="1">
        <v>4.4333333333333336E-2</v>
      </c>
      <c r="D717" s="1">
        <v>0.7416666666666667</v>
      </c>
      <c r="E717" s="1">
        <v>6.6000000000000003E-2</v>
      </c>
      <c r="F717" s="1">
        <v>0.24733333333333332</v>
      </c>
      <c r="G717" s="15">
        <v>1.6336666666666666</v>
      </c>
    </row>
    <row r="718" spans="1:7" x14ac:dyDescent="0.35">
      <c r="A718" s="22">
        <v>40057</v>
      </c>
      <c r="B718" s="1">
        <v>6.6840000000000002</v>
      </c>
      <c r="C718" s="1">
        <v>0.24833333333333332</v>
      </c>
      <c r="D718" s="1">
        <v>1.6823333333333332</v>
      </c>
      <c r="E718" s="1">
        <v>0.76966666666666672</v>
      </c>
      <c r="F718" s="1">
        <v>1.1093333333333333</v>
      </c>
      <c r="G718" s="15">
        <v>2.2426666666666666</v>
      </c>
    </row>
    <row r="719" spans="1:7" x14ac:dyDescent="0.35">
      <c r="A719" s="22">
        <v>40087</v>
      </c>
      <c r="B719" s="1">
        <v>30.421000000000003</v>
      </c>
      <c r="C719" s="1">
        <v>0.10866666666666668</v>
      </c>
      <c r="D719" s="1">
        <v>2.1356666666666668</v>
      </c>
      <c r="E719" s="1">
        <v>3.6999999999999998E-2</v>
      </c>
      <c r="F719" s="1">
        <v>0.8610000000000001</v>
      </c>
      <c r="G719" s="15">
        <v>1.619</v>
      </c>
    </row>
    <row r="720" spans="1:7" x14ac:dyDescent="0.35">
      <c r="A720" s="22">
        <v>40118</v>
      </c>
      <c r="B720" s="1">
        <v>4.7619999999999996</v>
      </c>
      <c r="C720" s="1">
        <v>9.0666666666666673E-2</v>
      </c>
      <c r="D720" s="1">
        <v>1.038</v>
      </c>
      <c r="E720" s="1">
        <v>0.16200000000000001</v>
      </c>
      <c r="F720" s="1">
        <v>1.093</v>
      </c>
      <c r="G720" s="15">
        <v>1.4630000000000001</v>
      </c>
    </row>
    <row r="721" spans="1:7" x14ac:dyDescent="0.35">
      <c r="A721" s="22">
        <v>40148</v>
      </c>
      <c r="B721" s="1">
        <v>3.6093333333333333</v>
      </c>
      <c r="C721" s="1">
        <v>0.18966666666666665</v>
      </c>
      <c r="D721" s="1">
        <v>1.071</v>
      </c>
      <c r="E721" s="1">
        <v>0.60199999999999998</v>
      </c>
      <c r="F721" s="1">
        <v>1.2113333333333334</v>
      </c>
      <c r="G721" s="15">
        <v>1.9669999999999999</v>
      </c>
    </row>
    <row r="722" spans="1:7" x14ac:dyDescent="0.35">
      <c r="A722" s="22">
        <v>40179</v>
      </c>
      <c r="B722" s="1">
        <v>1.3096666666666665</v>
      </c>
      <c r="C722" s="1">
        <v>0.36499999999999999</v>
      </c>
      <c r="D722" s="1">
        <v>2.6046666666666667</v>
      </c>
      <c r="E722" s="1">
        <v>0.65966666666666673</v>
      </c>
      <c r="F722" s="1">
        <v>1.633</v>
      </c>
      <c r="G722" s="15">
        <v>1.9419999999999999</v>
      </c>
    </row>
    <row r="723" spans="1:7" x14ac:dyDescent="0.35">
      <c r="A723" s="22">
        <v>40210</v>
      </c>
      <c r="B723" s="1">
        <v>25.243333333333336</v>
      </c>
      <c r="C723" s="1">
        <v>0.40599999999999997</v>
      </c>
      <c r="D723" s="1">
        <v>3.3893333333333331</v>
      </c>
      <c r="E723" s="1">
        <v>0.81566666666666665</v>
      </c>
      <c r="F723" s="1">
        <v>1.6353333333333333</v>
      </c>
      <c r="G723" s="15">
        <v>1.7836666666666667</v>
      </c>
    </row>
    <row r="724" spans="1:7" x14ac:dyDescent="0.35">
      <c r="A724" s="22">
        <v>40238</v>
      </c>
      <c r="B724" s="1">
        <v>2.1956666666666664</v>
      </c>
      <c r="C724" s="1">
        <v>0.26800000000000002</v>
      </c>
      <c r="D724" s="1">
        <v>1.25</v>
      </c>
      <c r="E724" s="1">
        <v>0.34499999999999997</v>
      </c>
      <c r="F724" s="1">
        <v>1.2586666666666666</v>
      </c>
      <c r="G724" s="15">
        <v>1.7300000000000002</v>
      </c>
    </row>
    <row r="725" spans="1:7" x14ac:dyDescent="0.35">
      <c r="A725" s="22">
        <v>40269</v>
      </c>
      <c r="B725" s="1">
        <v>1.8343333333333334</v>
      </c>
      <c r="C725" s="1">
        <v>1.3833333333333335</v>
      </c>
      <c r="D725" s="1">
        <v>6.8929999999999998</v>
      </c>
      <c r="E725" s="1">
        <v>42.006333333333338</v>
      </c>
      <c r="F725" s="1">
        <v>10.500333333333334</v>
      </c>
      <c r="G725" s="15">
        <v>17.352999999999998</v>
      </c>
    </row>
    <row r="726" spans="1:7" x14ac:dyDescent="0.35">
      <c r="A726" s="22">
        <v>40299</v>
      </c>
      <c r="B726" s="1">
        <v>1.0136666666666667</v>
      </c>
      <c r="C726" s="1">
        <v>4.0203333333333333</v>
      </c>
      <c r="D726" s="1">
        <v>12.711</v>
      </c>
      <c r="E726" s="1">
        <v>7.1859999999999999</v>
      </c>
      <c r="F726" s="1">
        <v>4.9033333333333333</v>
      </c>
      <c r="G726" s="15">
        <v>1.8156666666666668</v>
      </c>
    </row>
    <row r="727" spans="1:7" x14ac:dyDescent="0.35">
      <c r="A727" s="22">
        <v>40330</v>
      </c>
      <c r="B727" s="1">
        <v>1.4483333333333333</v>
      </c>
      <c r="C727" s="1">
        <v>0.48733333333333334</v>
      </c>
      <c r="D727" s="1">
        <v>9.31</v>
      </c>
      <c r="E727" s="1">
        <v>6.9536666666666669</v>
      </c>
      <c r="F727" s="1">
        <v>2.1176666666666666</v>
      </c>
      <c r="G727" s="15">
        <v>1.2590000000000001</v>
      </c>
    </row>
    <row r="728" spans="1:7" x14ac:dyDescent="0.35">
      <c r="A728" s="22">
        <v>40360</v>
      </c>
      <c r="B728" s="1">
        <v>9.1429999999999989</v>
      </c>
      <c r="C728" s="1">
        <v>41.152333333333331</v>
      </c>
      <c r="D728" s="1">
        <v>142.89699999999999</v>
      </c>
      <c r="E728" s="1">
        <v>268.24633333333333</v>
      </c>
      <c r="F728" s="1">
        <v>44.595666666666666</v>
      </c>
      <c r="G728" s="15">
        <v>877.98599999999999</v>
      </c>
    </row>
    <row r="729" spans="1:7" x14ac:dyDescent="0.35">
      <c r="A729" s="22">
        <v>40391</v>
      </c>
      <c r="B729" s="1">
        <v>29.792000000000002</v>
      </c>
      <c r="C729" s="1">
        <v>0.71233333333333337</v>
      </c>
      <c r="D729" s="1">
        <v>33.244</v>
      </c>
      <c r="E729" s="1">
        <v>14.791666666666666</v>
      </c>
      <c r="F729" s="1">
        <v>15.632666666666667</v>
      </c>
      <c r="G729" s="15">
        <v>214.08466666666666</v>
      </c>
    </row>
    <row r="730" spans="1:7" x14ac:dyDescent="0.35">
      <c r="A730" s="22">
        <v>40422</v>
      </c>
      <c r="B730" s="1">
        <v>43.551333333333332</v>
      </c>
      <c r="C730" s="1">
        <v>0.82500000000000007</v>
      </c>
      <c r="D730" s="1">
        <v>22.049333333333333</v>
      </c>
      <c r="E730" s="1">
        <v>9.2976666666666663</v>
      </c>
      <c r="F730" s="1">
        <v>10.633000000000001</v>
      </c>
      <c r="G730" s="15">
        <v>153.91299999999998</v>
      </c>
    </row>
    <row r="731" spans="1:7" x14ac:dyDescent="0.35">
      <c r="A731" s="22">
        <v>40452</v>
      </c>
      <c r="B731" s="1">
        <v>21.831999999999997</v>
      </c>
      <c r="C731" s="1">
        <v>0.61033333333333328</v>
      </c>
      <c r="D731" s="1">
        <v>18.797666666666668</v>
      </c>
      <c r="E731" s="1">
        <v>9.7803333333333331</v>
      </c>
      <c r="F731" s="1">
        <v>9.2286666666666672</v>
      </c>
      <c r="G731" s="15">
        <v>117.04333333333334</v>
      </c>
    </row>
    <row r="732" spans="1:7" x14ac:dyDescent="0.35">
      <c r="A732" s="22">
        <v>40483</v>
      </c>
      <c r="B732" s="1">
        <v>1.1279999999999999</v>
      </c>
      <c r="C732" s="1">
        <v>0.59199999999999997</v>
      </c>
      <c r="D732" s="1">
        <v>15.128666666666668</v>
      </c>
      <c r="E732" s="1">
        <v>5.6109999999999998</v>
      </c>
      <c r="F732" s="1">
        <v>7.0169999999999995</v>
      </c>
      <c r="G732" s="15">
        <v>21.830333333333332</v>
      </c>
    </row>
    <row r="733" spans="1:7" x14ac:dyDescent="0.35">
      <c r="A733" s="22">
        <v>40513</v>
      </c>
      <c r="B733" s="1">
        <v>0.82433333333333325</v>
      </c>
      <c r="C733" s="1">
        <v>0.71933333333333327</v>
      </c>
      <c r="D733" s="1">
        <v>10.173333333333334</v>
      </c>
      <c r="E733" s="1">
        <v>4.5133333333333328</v>
      </c>
      <c r="F733" s="1">
        <v>6.5523333333333333</v>
      </c>
      <c r="G733" s="15">
        <v>16.952666666666666</v>
      </c>
    </row>
    <row r="734" spans="1:7" x14ac:dyDescent="0.35">
      <c r="A734" s="22">
        <v>40544</v>
      </c>
      <c r="B734" s="1">
        <v>0.67933333333333323</v>
      </c>
      <c r="C734" s="1">
        <v>0.67333333333333334</v>
      </c>
      <c r="D734" s="1">
        <v>6.7</v>
      </c>
      <c r="E734" s="1">
        <v>2.5633333333333335</v>
      </c>
      <c r="F734" s="1">
        <v>5.9903333333333331</v>
      </c>
      <c r="G734" s="15">
        <v>31.674333333333333</v>
      </c>
    </row>
    <row r="735" spans="1:7" x14ac:dyDescent="0.35">
      <c r="A735" s="22">
        <v>40575</v>
      </c>
      <c r="B735" s="1">
        <v>0.60233333333333328</v>
      </c>
      <c r="C735" s="1">
        <v>0.35833333333333334</v>
      </c>
      <c r="D735" s="1">
        <v>6.2013333333333334</v>
      </c>
      <c r="E735" s="1">
        <v>2.927</v>
      </c>
      <c r="F735" s="1">
        <v>4.9479999999999995</v>
      </c>
      <c r="G735" s="15">
        <v>33.148666666666664</v>
      </c>
    </row>
    <row r="736" spans="1:7" x14ac:dyDescent="0.35">
      <c r="A736" s="22">
        <v>40603</v>
      </c>
      <c r="B736" s="1">
        <v>0.76700000000000002</v>
      </c>
      <c r="C736" s="1">
        <v>0.35266666666666668</v>
      </c>
      <c r="D736" s="1">
        <v>4.4119999999999999</v>
      </c>
      <c r="E736" s="1">
        <v>2.2733333333333334</v>
      </c>
      <c r="F736" s="1">
        <v>4.0056666666666665</v>
      </c>
      <c r="G736" s="15">
        <v>37.699333333333335</v>
      </c>
    </row>
    <row r="737" spans="1:7" x14ac:dyDescent="0.35">
      <c r="A737" s="22">
        <v>40634</v>
      </c>
      <c r="B737" s="1">
        <v>0.92733333333333334</v>
      </c>
      <c r="C737" s="1">
        <v>0.23733333333333331</v>
      </c>
      <c r="D737" s="1">
        <v>3.0046666666666666</v>
      </c>
      <c r="E737" s="1">
        <v>0.92233333333333334</v>
      </c>
      <c r="F737" s="1">
        <v>2.4673333333333334</v>
      </c>
      <c r="G737" s="15">
        <v>4.7703333333333333</v>
      </c>
    </row>
    <row r="738" spans="1:7" x14ac:dyDescent="0.35">
      <c r="A738" s="22">
        <v>40664</v>
      </c>
      <c r="B738" s="1">
        <v>1.0833333333333333</v>
      </c>
      <c r="C738" s="1">
        <v>0.222</v>
      </c>
      <c r="D738" s="1">
        <v>2.1839999999999997</v>
      </c>
      <c r="E738" s="1">
        <v>0.36066666666666669</v>
      </c>
      <c r="F738" s="1">
        <v>1.514</v>
      </c>
      <c r="G738" s="15">
        <v>2.4413333333333331</v>
      </c>
    </row>
    <row r="739" spans="1:7" x14ac:dyDescent="0.35">
      <c r="A739" s="22">
        <v>40695</v>
      </c>
      <c r="B739" s="1">
        <v>3.214</v>
      </c>
      <c r="C739" s="1">
        <v>7.6999999999999999E-2</v>
      </c>
      <c r="D739" s="1">
        <v>1.1783333333333335</v>
      </c>
      <c r="E739" s="1">
        <v>0.10233333333333333</v>
      </c>
      <c r="F739" s="1">
        <v>0.87</v>
      </c>
      <c r="G739" s="15">
        <v>9.3689999999999998</v>
      </c>
    </row>
    <row r="740" spans="1:7" x14ac:dyDescent="0.35">
      <c r="A740" s="22">
        <v>40725</v>
      </c>
      <c r="B740" s="1">
        <v>19.596333333333334</v>
      </c>
      <c r="C740" s="1">
        <v>4.8666666666666664E-2</v>
      </c>
      <c r="D740" s="1">
        <v>0.85366666666666668</v>
      </c>
      <c r="E740" s="1">
        <v>0.54700000000000004</v>
      </c>
      <c r="F740" s="1">
        <v>0.51</v>
      </c>
      <c r="G740" s="15">
        <v>7.4653333333333336</v>
      </c>
    </row>
    <row r="741" spans="1:7" x14ac:dyDescent="0.35">
      <c r="A741" s="22">
        <v>40756</v>
      </c>
      <c r="B741" s="1">
        <v>2.7066666666666666</v>
      </c>
      <c r="C741" s="1">
        <v>0.60866666666666669</v>
      </c>
      <c r="D741" s="1">
        <v>1.3080000000000001</v>
      </c>
      <c r="E741" s="1">
        <v>0.40733333333333333</v>
      </c>
      <c r="F741" s="1">
        <v>0.32100000000000001</v>
      </c>
      <c r="G741" s="15">
        <v>5.3339999999999996</v>
      </c>
    </row>
    <row r="742" spans="1:7" x14ac:dyDescent="0.35">
      <c r="A742" s="22">
        <v>40787</v>
      </c>
      <c r="B742" s="1">
        <v>5.5783333333333331</v>
      </c>
      <c r="C742" s="1">
        <v>0.3183333333333333</v>
      </c>
      <c r="D742" s="1">
        <v>1.056</v>
      </c>
      <c r="E742" s="1">
        <v>1.1533333333333333E-3</v>
      </c>
      <c r="F742" s="1">
        <v>0.10266666666666667</v>
      </c>
      <c r="G742" s="15">
        <v>3.8616666666666668</v>
      </c>
    </row>
    <row r="743" spans="1:7" x14ac:dyDescent="0.35">
      <c r="A743" s="22">
        <v>40817</v>
      </c>
      <c r="B743" s="1">
        <v>1.8223333333333331</v>
      </c>
      <c r="C743" s="1">
        <v>0.11</v>
      </c>
      <c r="D743" s="1">
        <v>1.8743333333333334</v>
      </c>
      <c r="E743" s="1">
        <v>0</v>
      </c>
      <c r="F743" s="1">
        <v>0.67833333333333334</v>
      </c>
      <c r="G743" s="15">
        <v>3.6010000000000004</v>
      </c>
    </row>
    <row r="744" spans="1:7" x14ac:dyDescent="0.35">
      <c r="A744" s="22">
        <v>40848</v>
      </c>
      <c r="B744" s="1">
        <v>0.6</v>
      </c>
      <c r="C744" s="1">
        <v>0.113</v>
      </c>
      <c r="D744" s="1">
        <v>1.5803333333333331</v>
      </c>
      <c r="E744" s="1">
        <v>0</v>
      </c>
      <c r="F744" s="1">
        <v>0.68933333333333335</v>
      </c>
      <c r="G744" s="15">
        <v>2.1750000000000003</v>
      </c>
    </row>
    <row r="745" spans="1:7" x14ac:dyDescent="0.35">
      <c r="A745" s="22">
        <v>40878</v>
      </c>
      <c r="B745" s="1">
        <v>0.58666666666666667</v>
      </c>
      <c r="C745" s="1">
        <v>0.19566666666666666</v>
      </c>
      <c r="D745" s="1">
        <v>1.0290000000000001</v>
      </c>
      <c r="E745" s="1">
        <v>0</v>
      </c>
      <c r="F745" s="1">
        <v>0.91033333333333333</v>
      </c>
      <c r="G745" s="15">
        <v>2.4873333333333334</v>
      </c>
    </row>
    <row r="746" spans="1:7" x14ac:dyDescent="0.35">
      <c r="A746" s="22">
        <v>40909</v>
      </c>
      <c r="B746" s="1">
        <v>0.503</v>
      </c>
      <c r="C746" s="1">
        <v>0.19799999999999998</v>
      </c>
      <c r="D746" s="1">
        <v>1.3120000000000001</v>
      </c>
      <c r="E746" s="1">
        <v>0</v>
      </c>
      <c r="F746" s="1">
        <v>1.0653333333333335</v>
      </c>
      <c r="G746" s="15">
        <v>2.302</v>
      </c>
    </row>
    <row r="747" spans="1:7" x14ac:dyDescent="0.35">
      <c r="A747" s="22">
        <v>40940</v>
      </c>
      <c r="B747" s="1">
        <v>0.33266666666666667</v>
      </c>
      <c r="C747" s="1">
        <v>0.23733333333333331</v>
      </c>
      <c r="D747" s="1">
        <v>1.0069999999999999</v>
      </c>
      <c r="E747" s="1">
        <v>0</v>
      </c>
      <c r="F747" s="1">
        <v>1.3753333333333335</v>
      </c>
      <c r="G747" s="15">
        <v>2.3370000000000002</v>
      </c>
    </row>
    <row r="748" spans="1:7" x14ac:dyDescent="0.35">
      <c r="A748" s="22">
        <v>40969</v>
      </c>
      <c r="B748" s="1">
        <v>0.55399999999999994</v>
      </c>
      <c r="C748" s="1">
        <v>0.214</v>
      </c>
      <c r="D748" s="1">
        <v>1.2150000000000001</v>
      </c>
      <c r="E748" s="1">
        <v>5.0333333333333334E-2</v>
      </c>
      <c r="F748" s="1">
        <v>0.90099999999999991</v>
      </c>
      <c r="G748" s="15">
        <v>2.1726666666666667</v>
      </c>
    </row>
    <row r="749" spans="1:7" x14ac:dyDescent="0.35">
      <c r="A749" s="22">
        <v>41000</v>
      </c>
      <c r="B749" s="1">
        <v>1.2369999999999999</v>
      </c>
      <c r="C749" s="1">
        <v>0.28099999999999997</v>
      </c>
      <c r="D749" s="1">
        <v>1.5763333333333334</v>
      </c>
      <c r="E749" s="1">
        <v>0</v>
      </c>
      <c r="F749" s="1">
        <v>0.54100000000000004</v>
      </c>
      <c r="G749" s="15">
        <v>1.4259999999999999</v>
      </c>
    </row>
    <row r="750" spans="1:7" x14ac:dyDescent="0.35">
      <c r="A750" s="22">
        <v>41030</v>
      </c>
      <c r="B750" s="1">
        <v>4.1113333333333335</v>
      </c>
      <c r="C750" s="1">
        <v>0.88099999999999989</v>
      </c>
      <c r="D750" s="1">
        <v>6.293333333333333</v>
      </c>
      <c r="E750" s="1">
        <v>0.84699999999999998</v>
      </c>
      <c r="F750" s="1">
        <v>1.266</v>
      </c>
      <c r="G750" s="15">
        <v>3.4819999999999998</v>
      </c>
    </row>
    <row r="751" spans="1:7" x14ac:dyDescent="0.35">
      <c r="A751" s="22">
        <v>41061</v>
      </c>
      <c r="B751" s="1">
        <v>0.71466666666666667</v>
      </c>
      <c r="C751" s="1">
        <v>0.13066666666666668</v>
      </c>
      <c r="D751" s="1">
        <v>1.6673333333333333</v>
      </c>
      <c r="E751" s="1">
        <v>0</v>
      </c>
      <c r="F751" s="1">
        <v>0.14599999999999999</v>
      </c>
      <c r="G751" s="15">
        <v>3.5906666666666669</v>
      </c>
    </row>
    <row r="752" spans="1:7" x14ac:dyDescent="0.35">
      <c r="A752" s="22">
        <v>41091</v>
      </c>
      <c r="B752" s="1">
        <v>20.414999999999999</v>
      </c>
      <c r="C752" s="1">
        <v>0.13899999999999998</v>
      </c>
      <c r="D752" s="1">
        <v>0.45266666666666672</v>
      </c>
      <c r="E752" s="1">
        <v>0</v>
      </c>
      <c r="F752" s="1">
        <v>5.6000000000000001E-2</v>
      </c>
      <c r="G752" s="15">
        <v>1.696</v>
      </c>
    </row>
    <row r="753" spans="1:7" x14ac:dyDescent="0.35">
      <c r="A753" s="22">
        <v>41122</v>
      </c>
      <c r="B753" s="1">
        <v>7.4336666666666664</v>
      </c>
      <c r="C753" s="1">
        <v>7.7333333333333337E-2</v>
      </c>
      <c r="D753" s="1">
        <v>0.36633333333333334</v>
      </c>
      <c r="E753" s="1">
        <v>0</v>
      </c>
      <c r="F753" s="1">
        <v>1.7866666666666666E-2</v>
      </c>
      <c r="G753" s="15">
        <v>0.77266666666666672</v>
      </c>
    </row>
    <row r="754" spans="1:7" x14ac:dyDescent="0.35">
      <c r="A754" s="22">
        <v>41153</v>
      </c>
      <c r="B754" s="1">
        <v>7.5799999999999992</v>
      </c>
      <c r="C754" s="1">
        <v>3.295666666666667</v>
      </c>
      <c r="D754" s="1">
        <v>10.555</v>
      </c>
      <c r="E754" s="1">
        <v>1.2929999999999999</v>
      </c>
      <c r="F754" s="1">
        <v>2.9366666666666666E-2</v>
      </c>
      <c r="G754" s="15">
        <v>0.73966666666666658</v>
      </c>
    </row>
    <row r="755" spans="1:7" x14ac:dyDescent="0.35">
      <c r="A755" s="22">
        <v>41183</v>
      </c>
      <c r="B755" s="1">
        <v>1.6993333333333334</v>
      </c>
      <c r="C755" s="1">
        <v>0.23166666666666666</v>
      </c>
      <c r="D755" s="1">
        <v>12.464666666666666</v>
      </c>
      <c r="E755" s="1">
        <v>0</v>
      </c>
      <c r="F755" s="1">
        <v>5.2999999999999999E-2</v>
      </c>
      <c r="G755" s="15">
        <v>0.96833333333333327</v>
      </c>
    </row>
    <row r="756" spans="1:7" x14ac:dyDescent="0.35">
      <c r="A756" s="22">
        <v>41214</v>
      </c>
      <c r="B756" s="1">
        <v>0.40966666666666668</v>
      </c>
      <c r="C756" s="1">
        <v>0.19566666666666666</v>
      </c>
      <c r="D756" s="1">
        <v>4.1959999999999997</v>
      </c>
      <c r="E756" s="1">
        <v>0</v>
      </c>
      <c r="F756" s="1">
        <v>8.1333333333333327E-2</v>
      </c>
      <c r="G756" s="15">
        <v>0.59566666666666668</v>
      </c>
    </row>
    <row r="757" spans="1:7" x14ac:dyDescent="0.35">
      <c r="A757" s="22">
        <v>41244</v>
      </c>
      <c r="B757" s="1">
        <v>0.32566666666666666</v>
      </c>
      <c r="C757" s="1">
        <v>0.255</v>
      </c>
      <c r="D757" s="1">
        <v>2.0100000000000002</v>
      </c>
      <c r="E757" s="1">
        <v>0</v>
      </c>
      <c r="F757" s="1">
        <v>0.20366666666666666</v>
      </c>
      <c r="G757" s="15">
        <v>0.65766666666666673</v>
      </c>
    </row>
    <row r="758" spans="1:7" x14ac:dyDescent="0.35">
      <c r="A758" s="22">
        <v>41275</v>
      </c>
      <c r="B758" s="1">
        <v>2.274</v>
      </c>
      <c r="C758" s="1">
        <v>0.318</v>
      </c>
      <c r="D758" s="1">
        <v>2.7970000000000002</v>
      </c>
      <c r="E758" s="1">
        <v>0</v>
      </c>
      <c r="F758" s="1">
        <v>0.57700000000000007</v>
      </c>
      <c r="G758" s="15">
        <v>0.78766666666666663</v>
      </c>
    </row>
    <row r="759" spans="1:7" x14ac:dyDescent="0.35">
      <c r="A759" s="22">
        <v>41306</v>
      </c>
      <c r="B759" s="1">
        <v>0.22333333333333336</v>
      </c>
      <c r="C759" s="1">
        <v>0.21299999999999999</v>
      </c>
      <c r="D759" s="1">
        <v>1.4656666666666667</v>
      </c>
      <c r="E759" s="1">
        <v>0</v>
      </c>
      <c r="F759" s="1">
        <v>0.58199999999999996</v>
      </c>
      <c r="G759" s="15">
        <v>0.56166666666666665</v>
      </c>
    </row>
    <row r="760" spans="1:7" x14ac:dyDescent="0.35">
      <c r="A760" s="22">
        <v>41334</v>
      </c>
      <c r="B760" s="1">
        <v>0.38500000000000001</v>
      </c>
      <c r="C760" s="1">
        <v>0.22433333333333336</v>
      </c>
      <c r="D760" s="1">
        <v>0.86066666666666658</v>
      </c>
      <c r="E760" s="1">
        <v>0.31866666666666665</v>
      </c>
      <c r="F760" s="1">
        <v>0.158</v>
      </c>
      <c r="G760" s="15">
        <v>0.58433333333333326</v>
      </c>
    </row>
    <row r="761" spans="1:7" x14ac:dyDescent="0.35">
      <c r="A761" s="22">
        <v>41365</v>
      </c>
      <c r="B761" s="1">
        <v>0.57999999999999996</v>
      </c>
      <c r="C761" s="1">
        <v>0.18166666666666667</v>
      </c>
      <c r="D761" s="1">
        <v>0.6263333333333333</v>
      </c>
      <c r="E761" s="1">
        <v>1.663</v>
      </c>
      <c r="F761" s="1">
        <v>0.107</v>
      </c>
      <c r="G761" s="15">
        <v>2.5920000000000001</v>
      </c>
    </row>
    <row r="762" spans="1:7" x14ac:dyDescent="0.35">
      <c r="A762" s="22">
        <v>41395</v>
      </c>
      <c r="B762" s="1">
        <v>1.7649999999999999</v>
      </c>
      <c r="C762" s="1">
        <v>0.19499999999999998</v>
      </c>
      <c r="D762" s="1">
        <v>2.2229999999999999</v>
      </c>
      <c r="E762" s="1">
        <v>0.58333333333333337</v>
      </c>
      <c r="F762" s="1">
        <v>0.29966666666666669</v>
      </c>
      <c r="G762" s="15">
        <v>12.519</v>
      </c>
    </row>
    <row r="763" spans="1:7" x14ac:dyDescent="0.35">
      <c r="A763" s="22">
        <v>41426</v>
      </c>
      <c r="B763" s="1">
        <v>14.576000000000001</v>
      </c>
      <c r="C763" s="1">
        <v>0.28299999999999997</v>
      </c>
      <c r="D763" s="1">
        <v>3.3396666666666666</v>
      </c>
      <c r="E763" s="1">
        <v>1.4886666666666668</v>
      </c>
      <c r="F763" s="1">
        <v>15.418666666666667</v>
      </c>
      <c r="G763" s="15">
        <v>6.3606666666666669</v>
      </c>
    </row>
    <row r="764" spans="1:7" x14ac:dyDescent="0.35">
      <c r="A764" s="22">
        <v>41456</v>
      </c>
      <c r="B764" s="1">
        <v>70.927333333333337</v>
      </c>
      <c r="C764" s="1">
        <v>0.442</v>
      </c>
      <c r="D764" s="1">
        <v>3.3803333333333332</v>
      </c>
      <c r="E764" s="1">
        <v>0</v>
      </c>
      <c r="F764" s="1">
        <v>0.90566666666666673</v>
      </c>
      <c r="G764" s="15">
        <v>4.0556666666666663</v>
      </c>
    </row>
    <row r="765" spans="1:7" x14ac:dyDescent="0.35">
      <c r="A765" s="22">
        <v>41487</v>
      </c>
      <c r="B765" s="1">
        <v>90.158333333333346</v>
      </c>
      <c r="C765" s="1">
        <v>9.7666666666666666E-2</v>
      </c>
      <c r="D765" s="1">
        <v>5.8490000000000002</v>
      </c>
      <c r="E765" s="1">
        <v>0</v>
      </c>
      <c r="F765" s="1">
        <v>0.23666666666666666</v>
      </c>
      <c r="G765" s="15">
        <v>0.73266666666666669</v>
      </c>
    </row>
    <row r="766" spans="1:7" x14ac:dyDescent="0.35">
      <c r="A766" s="22">
        <v>41518</v>
      </c>
      <c r="B766" s="1">
        <v>75.608666666666664</v>
      </c>
      <c r="C766" s="1">
        <v>0.47266666666666662</v>
      </c>
      <c r="D766" s="1">
        <v>7.7396666666666674</v>
      </c>
      <c r="E766" s="1">
        <v>11.038666666666666</v>
      </c>
      <c r="F766" s="1">
        <v>0.48199999999999998</v>
      </c>
      <c r="G766" s="15">
        <v>39.06966666666667</v>
      </c>
    </row>
    <row r="767" spans="1:7" x14ac:dyDescent="0.35">
      <c r="A767" s="22">
        <v>41548</v>
      </c>
      <c r="B767" s="1">
        <v>19.413333333333334</v>
      </c>
      <c r="C767" s="1">
        <v>0.41333333333333333</v>
      </c>
      <c r="D767" s="1">
        <v>13.141333333333334</v>
      </c>
      <c r="E767" s="1">
        <v>4.8903333333333334</v>
      </c>
      <c r="F767" s="1">
        <v>1.3893333333333333</v>
      </c>
      <c r="G767" s="15">
        <v>31.277333333333331</v>
      </c>
    </row>
    <row r="768" spans="1:7" x14ac:dyDescent="0.35">
      <c r="A768" s="22">
        <v>41579</v>
      </c>
      <c r="B768" s="1">
        <v>11.099333333333334</v>
      </c>
      <c r="C768" s="1">
        <v>0.26866666666666666</v>
      </c>
      <c r="D768" s="1">
        <v>9.2330000000000005</v>
      </c>
      <c r="E768" s="1">
        <v>2.8613333333333331</v>
      </c>
      <c r="F768" s="1">
        <v>1.9916666666666665</v>
      </c>
      <c r="G768" s="15">
        <v>6.1539999999999999</v>
      </c>
    </row>
    <row r="769" spans="1:7" x14ac:dyDescent="0.35">
      <c r="A769" s="22">
        <v>41609</v>
      </c>
      <c r="B769" s="1">
        <v>9.6693333333333324</v>
      </c>
      <c r="C769" s="1">
        <v>0.29766666666666669</v>
      </c>
      <c r="D769" s="1">
        <v>7.0219999999999994</v>
      </c>
      <c r="E769" s="1">
        <v>2.3646666666666669</v>
      </c>
      <c r="F769" s="1">
        <v>2.0286666666666666</v>
      </c>
      <c r="G769" s="15">
        <v>5.0426666666666664</v>
      </c>
    </row>
    <row r="770" spans="1:7" x14ac:dyDescent="0.35">
      <c r="A770" s="22">
        <v>41640</v>
      </c>
      <c r="B770" s="1">
        <v>6.8526666666666669</v>
      </c>
      <c r="C770" s="1">
        <v>0.28966666666666668</v>
      </c>
      <c r="D770" s="1">
        <v>4.6239999999999997</v>
      </c>
      <c r="E770" s="1">
        <v>1.4053333333333333</v>
      </c>
      <c r="F770" s="1">
        <v>2.1126666666666667</v>
      </c>
      <c r="G770" s="15">
        <v>4.7293333333333338</v>
      </c>
    </row>
    <row r="771" spans="1:7" x14ac:dyDescent="0.35">
      <c r="A771" s="22">
        <v>41671</v>
      </c>
      <c r="B771" s="1">
        <v>3.2033333333333331</v>
      </c>
      <c r="C771" s="1">
        <v>0.253</v>
      </c>
      <c r="D771" s="1">
        <v>2.6880000000000002</v>
      </c>
      <c r="E771" s="1">
        <v>0.88633333333333331</v>
      </c>
      <c r="F771" s="1">
        <v>1.806</v>
      </c>
      <c r="G771" s="15">
        <v>3.4133333333333336</v>
      </c>
    </row>
    <row r="772" spans="1:7" x14ac:dyDescent="0.35">
      <c r="A772" s="22">
        <v>41699</v>
      </c>
      <c r="B772" s="1">
        <v>1.3973333333333333</v>
      </c>
      <c r="C772" s="1">
        <v>0.24933333333333332</v>
      </c>
      <c r="D772" s="1">
        <v>0.83599999999999997</v>
      </c>
      <c r="E772" s="1">
        <v>0.51766666666666661</v>
      </c>
      <c r="F772" s="1">
        <v>1.1803333333333332</v>
      </c>
      <c r="G772" s="15">
        <v>3.0396666666666667</v>
      </c>
    </row>
    <row r="773" spans="1:7" x14ac:dyDescent="0.35">
      <c r="A773" s="22">
        <v>41730</v>
      </c>
      <c r="B773" s="1">
        <v>0.90333333333333332</v>
      </c>
      <c r="C773" s="1">
        <v>0.22133333333333335</v>
      </c>
      <c r="D773" s="1">
        <v>0.91</v>
      </c>
      <c r="E773" s="1">
        <v>0.56366666666666665</v>
      </c>
      <c r="F773" s="1">
        <v>0.53866666666666674</v>
      </c>
      <c r="G773" s="15">
        <v>1.899</v>
      </c>
    </row>
    <row r="774" spans="1:7" x14ac:dyDescent="0.35">
      <c r="A774" s="22">
        <v>41760</v>
      </c>
      <c r="B774" s="1">
        <v>0.81300000000000006</v>
      </c>
      <c r="C774" s="1">
        <v>0.33366666666666661</v>
      </c>
      <c r="D774" s="1">
        <v>1.2356666666666667</v>
      </c>
      <c r="E774" s="1">
        <v>0.154</v>
      </c>
      <c r="F774" s="1">
        <v>0.44566666666666666</v>
      </c>
      <c r="G774" s="15">
        <v>4.2570000000000006</v>
      </c>
    </row>
    <row r="775" spans="1:7" x14ac:dyDescent="0.35">
      <c r="A775" s="22">
        <v>41791</v>
      </c>
      <c r="B775" s="1">
        <v>3.4726666666666666</v>
      </c>
      <c r="C775" s="1">
        <v>9.5020000000000007</v>
      </c>
      <c r="D775" s="1">
        <v>3.5133333333333332</v>
      </c>
      <c r="E775" s="1">
        <v>1.7896666666666665</v>
      </c>
      <c r="F775" s="1">
        <v>0.22533333333333336</v>
      </c>
      <c r="G775" s="15">
        <v>33.04933333333333</v>
      </c>
    </row>
    <row r="776" spans="1:7" x14ac:dyDescent="0.35">
      <c r="A776" s="22">
        <v>41821</v>
      </c>
      <c r="B776" s="1">
        <v>1.294</v>
      </c>
      <c r="C776" s="1">
        <v>0.251</v>
      </c>
      <c r="D776" s="1">
        <v>1.4366666666666665</v>
      </c>
      <c r="E776" s="1">
        <v>1.103</v>
      </c>
      <c r="F776" s="1">
        <v>0.10633333333333334</v>
      </c>
      <c r="G776" s="15">
        <v>3.2613333333333334</v>
      </c>
    </row>
    <row r="777" spans="1:7" x14ac:dyDescent="0.35">
      <c r="A777" s="22">
        <v>41852</v>
      </c>
      <c r="B777" s="1">
        <v>9.9823333333333331</v>
      </c>
      <c r="C777" s="1">
        <v>0.17133333333333334</v>
      </c>
      <c r="D777" s="1">
        <v>0.8793333333333333</v>
      </c>
      <c r="E777" s="1">
        <v>4.5666666666666668E-2</v>
      </c>
      <c r="F777" s="1">
        <v>8.3000000000000004E-2</v>
      </c>
      <c r="G777" s="15">
        <v>1.5890000000000002</v>
      </c>
    </row>
    <row r="778" spans="1:7" x14ac:dyDescent="0.35">
      <c r="A778" s="22">
        <v>41883</v>
      </c>
      <c r="B778" s="1">
        <v>104.45966666666668</v>
      </c>
      <c r="C778" s="1">
        <v>0.52933333333333332</v>
      </c>
      <c r="D778" s="1">
        <v>3.3443333333333332</v>
      </c>
      <c r="E778" s="1">
        <v>0</v>
      </c>
      <c r="F778" s="1">
        <v>0.106</v>
      </c>
      <c r="G778" s="15">
        <v>5.7136666666666658</v>
      </c>
    </row>
    <row r="779" spans="1:7" x14ac:dyDescent="0.35">
      <c r="A779" s="22">
        <v>41913</v>
      </c>
      <c r="B779" s="1">
        <v>39.032666666666664</v>
      </c>
      <c r="C779" s="1">
        <v>0.37999999999999995</v>
      </c>
      <c r="D779" s="1">
        <v>6.6143333333333336</v>
      </c>
      <c r="E779" s="1">
        <v>0</v>
      </c>
      <c r="F779" s="1">
        <v>0.16666666666666666</v>
      </c>
      <c r="G779" s="15">
        <v>6.5720000000000001</v>
      </c>
    </row>
    <row r="780" spans="1:7" x14ac:dyDescent="0.35">
      <c r="A780" s="22">
        <v>41944</v>
      </c>
      <c r="B780" s="1">
        <v>19.840333333333334</v>
      </c>
      <c r="C780" s="1">
        <v>0.48766666666666669</v>
      </c>
      <c r="D780" s="1">
        <v>10.455333333333334</v>
      </c>
      <c r="E780" s="1">
        <v>5.575333333333333</v>
      </c>
      <c r="F780" s="1">
        <v>0.50900000000000001</v>
      </c>
      <c r="G780" s="15">
        <v>5.9093333333333335</v>
      </c>
    </row>
    <row r="781" spans="1:7" x14ac:dyDescent="0.35">
      <c r="A781" s="22">
        <v>41974</v>
      </c>
      <c r="B781" s="1">
        <v>12.584000000000001</v>
      </c>
      <c r="C781" s="1">
        <v>0.29533333333333334</v>
      </c>
      <c r="D781" s="1">
        <v>8.1156666666666677</v>
      </c>
      <c r="E781" s="1">
        <v>3.0016666666666669</v>
      </c>
      <c r="F781" s="1">
        <v>0.997</v>
      </c>
      <c r="G781" s="15">
        <v>3.6359999999999997</v>
      </c>
    </row>
    <row r="782" spans="1:7" x14ac:dyDescent="0.35">
      <c r="A782" s="22">
        <v>42005</v>
      </c>
      <c r="B782" s="1">
        <v>2.7119999999999997</v>
      </c>
      <c r="C782" s="1">
        <v>0.30499999999999999</v>
      </c>
      <c r="D782" s="1">
        <v>4.8743333333333334</v>
      </c>
      <c r="E782" s="1">
        <v>2.0556666666666668</v>
      </c>
      <c r="F782" s="1">
        <v>1.7716666666666667</v>
      </c>
      <c r="G782" s="15">
        <v>3.5169999999999999</v>
      </c>
    </row>
    <row r="783" spans="1:7" x14ac:dyDescent="0.35">
      <c r="A783" s="22">
        <v>42036</v>
      </c>
      <c r="B783" s="1">
        <v>1.6633333333333333</v>
      </c>
      <c r="C783" s="1">
        <v>0.26800000000000002</v>
      </c>
      <c r="D783" s="1">
        <v>2.7446666666666668</v>
      </c>
      <c r="E783" s="1">
        <v>7.0493333333333332</v>
      </c>
      <c r="F783" s="1">
        <v>1.7293333333333332</v>
      </c>
      <c r="G783" s="15">
        <v>2.4119999999999999</v>
      </c>
    </row>
    <row r="784" spans="1:7" x14ac:dyDescent="0.35">
      <c r="A784" s="22">
        <v>42064</v>
      </c>
      <c r="B784" s="1">
        <v>3.4656666666666669</v>
      </c>
      <c r="C784" s="1">
        <v>0.32833333333333331</v>
      </c>
      <c r="D784" s="1">
        <v>2.1096666666666666</v>
      </c>
      <c r="E784" s="1">
        <v>0.89466666666666672</v>
      </c>
      <c r="F784" s="1">
        <v>1.1996666666666667</v>
      </c>
      <c r="G784" s="15">
        <v>3.2066666666666666</v>
      </c>
    </row>
    <row r="785" spans="1:7" x14ac:dyDescent="0.35">
      <c r="A785" s="22">
        <v>42095</v>
      </c>
      <c r="B785" s="1">
        <v>0.68900000000000006</v>
      </c>
      <c r="C785" s="1">
        <v>0.27866666666666667</v>
      </c>
      <c r="D785" s="1">
        <v>6.7376666666666667</v>
      </c>
      <c r="E785" s="1">
        <v>5.4333333333333338E-2</v>
      </c>
      <c r="F785" s="1">
        <v>0.92499999999999993</v>
      </c>
      <c r="G785" s="15">
        <v>5.873333333333334</v>
      </c>
    </row>
    <row r="786" spans="1:7" x14ac:dyDescent="0.35">
      <c r="A786" s="22">
        <v>42125</v>
      </c>
      <c r="B786" s="1">
        <v>0.90666666666666673</v>
      </c>
      <c r="C786" s="1">
        <v>1.1716666666666666</v>
      </c>
      <c r="D786" s="1">
        <v>9.0446666666666662</v>
      </c>
      <c r="E786" s="1">
        <v>1.5046666666666668</v>
      </c>
      <c r="F786" s="1">
        <v>2.2479999999999998</v>
      </c>
      <c r="G786" s="15">
        <v>2.5070000000000001</v>
      </c>
    </row>
    <row r="787" spans="1:7" x14ac:dyDescent="0.35">
      <c r="A787" s="22">
        <v>42156</v>
      </c>
      <c r="B787" s="1">
        <v>1.8856666666666666</v>
      </c>
      <c r="C787" s="1">
        <v>0.40100000000000002</v>
      </c>
      <c r="D787" s="1">
        <v>9.4973333333333336</v>
      </c>
      <c r="E787" s="1">
        <v>0.7596666666666666</v>
      </c>
      <c r="F787" s="1">
        <v>1.1303333333333334</v>
      </c>
      <c r="G787" s="15">
        <v>1.6206666666666667</v>
      </c>
    </row>
    <row r="788" spans="1:7" x14ac:dyDescent="0.35">
      <c r="A788" s="22">
        <v>42186</v>
      </c>
      <c r="B788" s="1">
        <v>13.278666666666666</v>
      </c>
      <c r="C788" s="1">
        <v>0.19099999999999998</v>
      </c>
      <c r="D788" s="1">
        <v>6.4796666666666667</v>
      </c>
      <c r="E788" s="1">
        <v>0</v>
      </c>
      <c r="F788" s="1">
        <v>0.66666666666666663</v>
      </c>
      <c r="G788" s="15">
        <v>0.68800000000000006</v>
      </c>
    </row>
    <row r="789" spans="1:7" x14ac:dyDescent="0.35">
      <c r="A789" s="22">
        <v>42217</v>
      </c>
      <c r="B789" s="1">
        <v>2.4339999999999997</v>
      </c>
      <c r="C789" s="1">
        <v>0.10866666666666668</v>
      </c>
      <c r="D789" s="1">
        <v>6.2346666666666666</v>
      </c>
      <c r="E789" s="1">
        <v>6.2333333333333331E-2</v>
      </c>
      <c r="F789" s="1">
        <v>0.21299999999999999</v>
      </c>
      <c r="G789" s="15">
        <v>0.22900000000000001</v>
      </c>
    </row>
    <row r="790" spans="1:7" x14ac:dyDescent="0.35">
      <c r="A790" s="22">
        <v>42248</v>
      </c>
      <c r="B790" s="1">
        <v>4.6566666666666672</v>
      </c>
      <c r="C790" s="1">
        <v>7.7333333333333337E-2</v>
      </c>
      <c r="D790" s="1">
        <v>4.3946666666666667</v>
      </c>
      <c r="E790" s="1">
        <v>0.81800000000000006</v>
      </c>
      <c r="F790" s="1">
        <v>0.18966666666666665</v>
      </c>
      <c r="G790" s="15">
        <v>0.92066666666666663</v>
      </c>
    </row>
    <row r="791" spans="1:7" x14ac:dyDescent="0.35">
      <c r="A791" s="22">
        <v>42278</v>
      </c>
      <c r="B791" s="1">
        <v>15.877333333333333</v>
      </c>
      <c r="C791" s="1">
        <v>0.69366666666666665</v>
      </c>
      <c r="D791" s="1">
        <v>6.9546666666666672</v>
      </c>
      <c r="E791" s="1">
        <v>7.0539999999999994</v>
      </c>
      <c r="F791" s="1">
        <v>1.9690000000000001</v>
      </c>
      <c r="G791" s="15">
        <v>1.165</v>
      </c>
    </row>
    <row r="792" spans="1:7" x14ac:dyDescent="0.35">
      <c r="A792" s="22">
        <v>42309</v>
      </c>
      <c r="B792" s="1">
        <v>18.483999999999998</v>
      </c>
      <c r="C792" s="1">
        <v>0.25966666666666666</v>
      </c>
      <c r="D792" s="1">
        <v>6.2546666666666662</v>
      </c>
      <c r="E792" s="1">
        <v>0.33766666666666662</v>
      </c>
      <c r="F792" s="1">
        <v>1.3233333333333335</v>
      </c>
      <c r="G792" s="15">
        <v>1.1813333333333333</v>
      </c>
    </row>
    <row r="793" spans="1:7" x14ac:dyDescent="0.35">
      <c r="A793" s="22">
        <v>42339</v>
      </c>
      <c r="B793" s="1">
        <v>16.559999999999999</v>
      </c>
      <c r="C793" s="1">
        <v>0.23833333333333331</v>
      </c>
      <c r="D793" s="1">
        <v>2.6033333333333331</v>
      </c>
      <c r="E793" s="1">
        <v>2.3333333333333335E-3</v>
      </c>
      <c r="F793" s="1">
        <v>1.1866666666666668</v>
      </c>
      <c r="G793" s="15">
        <v>32.999666666666663</v>
      </c>
    </row>
    <row r="794" spans="1:7" x14ac:dyDescent="0.35">
      <c r="A794" s="22">
        <v>42370</v>
      </c>
      <c r="B794" s="1">
        <v>1.5333333333333332</v>
      </c>
      <c r="C794" s="1">
        <v>0.26100000000000001</v>
      </c>
      <c r="D794" s="1">
        <v>2.1</v>
      </c>
      <c r="E794" s="1">
        <v>0</v>
      </c>
      <c r="F794" s="1">
        <v>1.24</v>
      </c>
      <c r="G794" s="15">
        <v>8.4193333333333324</v>
      </c>
    </row>
    <row r="795" spans="1:7" x14ac:dyDescent="0.35">
      <c r="A795" s="22">
        <v>42401</v>
      </c>
      <c r="B795" s="1">
        <v>0.56133333333333335</v>
      </c>
      <c r="C795" s="1">
        <v>0.18666666666666668</v>
      </c>
      <c r="D795" s="1">
        <v>0.98433333333333328</v>
      </c>
      <c r="E795" s="1">
        <v>0</v>
      </c>
      <c r="F795" s="1">
        <v>1.169</v>
      </c>
      <c r="G795" s="15">
        <v>1.595</v>
      </c>
    </row>
    <row r="796" spans="1:7" x14ac:dyDescent="0.35">
      <c r="A796" s="22">
        <v>42430</v>
      </c>
      <c r="B796" s="1">
        <v>0.87133333333333329</v>
      </c>
      <c r="C796" s="1">
        <v>0.29333333333333333</v>
      </c>
      <c r="D796" s="1">
        <v>3.0963333333333334</v>
      </c>
      <c r="E796" s="1">
        <v>0</v>
      </c>
      <c r="F796" s="1">
        <v>0.89433333333333331</v>
      </c>
      <c r="G796" s="15">
        <v>4.9489999999999998</v>
      </c>
    </row>
    <row r="797" spans="1:7" x14ac:dyDescent="0.35">
      <c r="A797" s="22">
        <v>42461</v>
      </c>
      <c r="B797" s="1">
        <v>0.61233333333333329</v>
      </c>
      <c r="C797" s="1">
        <v>0.64900000000000002</v>
      </c>
      <c r="D797" s="1">
        <v>1.8433333333333335</v>
      </c>
      <c r="E797" s="1">
        <v>0.11033333333333334</v>
      </c>
      <c r="F797" s="1">
        <v>0.79899999999999993</v>
      </c>
      <c r="G797" s="15">
        <v>1.4610000000000001</v>
      </c>
    </row>
    <row r="798" spans="1:7" x14ac:dyDescent="0.35">
      <c r="A798" s="22">
        <v>42491</v>
      </c>
      <c r="B798" s="1">
        <v>3.4313333333333333</v>
      </c>
      <c r="C798" s="1">
        <v>0.19799999999999998</v>
      </c>
      <c r="D798" s="1">
        <v>1.0863333333333334</v>
      </c>
      <c r="E798" s="1">
        <v>0.42899999999999999</v>
      </c>
      <c r="F798" s="1">
        <v>0.72233333333333327</v>
      </c>
      <c r="G798" s="15">
        <v>3.0559999999999996</v>
      </c>
    </row>
    <row r="799" spans="1:7" x14ac:dyDescent="0.35">
      <c r="A799" s="22">
        <v>42522</v>
      </c>
      <c r="B799" s="1">
        <v>5.1150000000000002</v>
      </c>
      <c r="C799" s="1">
        <v>0.16966666666666666</v>
      </c>
      <c r="D799" s="1">
        <v>1.4530000000000001</v>
      </c>
      <c r="E799" s="1">
        <v>0.16</v>
      </c>
      <c r="F799" s="1">
        <v>0.21533333333333335</v>
      </c>
      <c r="G799" s="15">
        <v>3.4476666666666667</v>
      </c>
    </row>
    <row r="800" spans="1:7" x14ac:dyDescent="0.35">
      <c r="A800" s="22">
        <v>42552</v>
      </c>
      <c r="B800" s="1">
        <v>1.6486666666666665</v>
      </c>
      <c r="C800" s="1">
        <v>6.3666666666666663E-2</v>
      </c>
      <c r="D800" s="1">
        <v>1.0623333333333334</v>
      </c>
      <c r="E800" s="1">
        <v>0.35666666666666669</v>
      </c>
      <c r="F800" s="1">
        <v>3.5999999999999997E-2</v>
      </c>
      <c r="G800" s="15">
        <v>1.3260000000000001</v>
      </c>
    </row>
    <row r="801" spans="1:7" x14ac:dyDescent="0.35">
      <c r="A801" s="22">
        <v>42583</v>
      </c>
      <c r="B801" s="1">
        <v>13.379</v>
      </c>
      <c r="C801" s="1">
        <v>3.0266666666666668</v>
      </c>
      <c r="D801" s="1">
        <v>5.0586666666666664</v>
      </c>
      <c r="E801" s="1">
        <v>1.1393333333333333</v>
      </c>
      <c r="F801" s="1">
        <v>7.9666666666666663E-2</v>
      </c>
      <c r="G801" s="15">
        <v>9.1449999999999996</v>
      </c>
    </row>
    <row r="802" spans="1:7" x14ac:dyDescent="0.35">
      <c r="A802" s="22">
        <v>42614</v>
      </c>
      <c r="B802" s="1">
        <v>36.506999999999998</v>
      </c>
      <c r="C802" s="1">
        <v>0.86299999999999999</v>
      </c>
      <c r="D802" s="1">
        <v>13.167333333333334</v>
      </c>
      <c r="E802" s="1">
        <v>6.3503333333333325</v>
      </c>
      <c r="F802" s="1">
        <v>0.15833333333333333</v>
      </c>
      <c r="G802" s="15">
        <v>3.5273333333333334</v>
      </c>
    </row>
    <row r="803" spans="1:7" x14ac:dyDescent="0.35">
      <c r="A803" s="22">
        <v>42644</v>
      </c>
      <c r="B803" s="1">
        <v>20.220333333333333</v>
      </c>
      <c r="C803" s="1">
        <v>0.39633333333333337</v>
      </c>
      <c r="D803" s="1">
        <v>9.4420000000000002</v>
      </c>
      <c r="E803" s="1">
        <v>5.3036666666666665</v>
      </c>
      <c r="F803" s="1">
        <v>0.18333333333333335</v>
      </c>
      <c r="G803" s="15">
        <v>2.1956666666666664</v>
      </c>
    </row>
    <row r="804" spans="1:7" x14ac:dyDescent="0.35">
      <c r="A804" s="22">
        <v>42675</v>
      </c>
      <c r="B804" s="1">
        <v>4.9453333333333331</v>
      </c>
      <c r="C804" s="1">
        <v>0.38866666666666666</v>
      </c>
      <c r="D804" s="1">
        <v>9.8143333333333338</v>
      </c>
      <c r="E804" s="1">
        <v>5.4396666666666667</v>
      </c>
      <c r="F804" s="1">
        <v>1.141</v>
      </c>
      <c r="G804" s="15">
        <v>6.6106666666666669</v>
      </c>
    </row>
    <row r="805" spans="1:7" x14ac:dyDescent="0.35">
      <c r="A805" s="22">
        <v>42705</v>
      </c>
      <c r="B805" s="1">
        <v>9.8409999999999993</v>
      </c>
      <c r="C805" s="1">
        <v>0.51100000000000001</v>
      </c>
      <c r="D805" s="1">
        <v>9.1560000000000006</v>
      </c>
      <c r="E805" s="1">
        <v>3.4103333333333334</v>
      </c>
      <c r="F805" s="1">
        <v>2.2786666666666666</v>
      </c>
      <c r="G805" s="15">
        <v>3.7136666666666667</v>
      </c>
    </row>
    <row r="806" spans="1:7" x14ac:dyDescent="0.35">
      <c r="A806" s="22">
        <v>42736</v>
      </c>
      <c r="B806" s="1">
        <v>15.411</v>
      </c>
      <c r="C806" s="1">
        <v>0.33766666666666662</v>
      </c>
      <c r="D806" s="1">
        <v>6.1176666666666675</v>
      </c>
      <c r="E806" s="1">
        <v>0.14166666666666666</v>
      </c>
      <c r="F806" s="1">
        <v>1.9119999999999999</v>
      </c>
      <c r="G806" s="15">
        <v>2.9536666666666669</v>
      </c>
    </row>
    <row r="807" spans="1:7" x14ac:dyDescent="0.35">
      <c r="A807" s="22">
        <v>42767</v>
      </c>
      <c r="B807" s="1">
        <v>5.458333333333333</v>
      </c>
      <c r="C807" s="1">
        <v>0.29333333333333333</v>
      </c>
      <c r="D807" s="1">
        <v>2.4946666666666668</v>
      </c>
      <c r="E807" s="1">
        <v>6.3333333333333332E-3</v>
      </c>
      <c r="F807" s="1">
        <v>1.3116666666666668</v>
      </c>
      <c r="G807" s="15">
        <v>2.4163333333333332</v>
      </c>
    </row>
    <row r="808" spans="1:7" x14ac:dyDescent="0.35">
      <c r="A808" s="22">
        <v>42795</v>
      </c>
      <c r="B808" s="1">
        <v>0.79566666666666663</v>
      </c>
      <c r="C808" s="1">
        <v>0.27233333333333332</v>
      </c>
      <c r="D808" s="1">
        <v>2.3876666666666666</v>
      </c>
      <c r="E808" s="1">
        <v>0</v>
      </c>
      <c r="F808" s="1">
        <v>0.88833333333333331</v>
      </c>
      <c r="G808" s="15">
        <v>1.881</v>
      </c>
    </row>
    <row r="809" spans="1:7" x14ac:dyDescent="0.35">
      <c r="A809" s="22">
        <v>42826</v>
      </c>
      <c r="B809" s="1">
        <v>0.79366666666666663</v>
      </c>
      <c r="C809" s="1">
        <v>2.3623333333333334</v>
      </c>
      <c r="D809" s="1">
        <v>6.2846666666666664</v>
      </c>
      <c r="E809" s="1">
        <v>0.54333333333333333</v>
      </c>
      <c r="F809" s="1">
        <v>0.45033333333333331</v>
      </c>
      <c r="G809" s="15">
        <v>2.1086666666666667</v>
      </c>
    </row>
    <row r="810" spans="1:7" x14ac:dyDescent="0.35">
      <c r="A810" s="22">
        <v>42856</v>
      </c>
      <c r="B810" s="1">
        <v>6.0023333333333335</v>
      </c>
      <c r="C810" s="1">
        <v>0.34433333333333332</v>
      </c>
      <c r="D810" s="1">
        <v>1.5270000000000001</v>
      </c>
      <c r="E810" s="1">
        <v>2.198</v>
      </c>
      <c r="F810" s="1">
        <v>0.29099999999999998</v>
      </c>
      <c r="G810" s="15">
        <v>1.3436666666666666</v>
      </c>
    </row>
    <row r="811" spans="1:7" x14ac:dyDescent="0.35">
      <c r="A811" s="22">
        <v>42887</v>
      </c>
      <c r="B811" s="1">
        <v>2.9653333333333336</v>
      </c>
      <c r="C811" s="1">
        <v>0.315</v>
      </c>
      <c r="D811" s="1">
        <v>2.2553333333333332</v>
      </c>
      <c r="E811" s="1">
        <v>8.7666666666666671E-2</v>
      </c>
      <c r="F811" s="1">
        <v>0.28966666666666668</v>
      </c>
      <c r="G811" s="15">
        <v>3.0093333333333336</v>
      </c>
    </row>
    <row r="812" spans="1:7" x14ac:dyDescent="0.35">
      <c r="A812" s="22">
        <v>42917</v>
      </c>
      <c r="B812" s="1">
        <v>29.652333333333331</v>
      </c>
      <c r="C812" s="1">
        <v>9.9333333333333329E-2</v>
      </c>
      <c r="D812" s="1">
        <v>0.93800000000000006</v>
      </c>
      <c r="E812" s="1">
        <v>1.3233333333333333E-2</v>
      </c>
      <c r="F812" s="1">
        <v>0.15366666666666667</v>
      </c>
      <c r="G812" s="15">
        <v>0.44966666666666666</v>
      </c>
    </row>
    <row r="813" spans="1:7" x14ac:dyDescent="0.35">
      <c r="A813" s="22">
        <v>42948</v>
      </c>
      <c r="B813" s="1">
        <v>117.748</v>
      </c>
      <c r="C813" s="1">
        <v>0.14899999999999999</v>
      </c>
      <c r="D813" s="1">
        <v>0.82900000000000007</v>
      </c>
      <c r="E813" s="1">
        <v>1.0933333333333335E-2</v>
      </c>
      <c r="F813" s="1">
        <v>4.5333333333333337E-2</v>
      </c>
      <c r="G813" s="15">
        <v>0.94300000000000006</v>
      </c>
    </row>
    <row r="814" spans="1:7" x14ac:dyDescent="0.35">
      <c r="A814" s="22">
        <v>42979</v>
      </c>
      <c r="B814" s="1">
        <v>74.894333333333336</v>
      </c>
      <c r="C814" s="1">
        <v>0.28766666666666668</v>
      </c>
      <c r="D814" s="1">
        <v>8.4820000000000011</v>
      </c>
      <c r="E814" s="1">
        <v>36.535666666666664</v>
      </c>
      <c r="F814" s="1">
        <v>0.55500000000000005</v>
      </c>
      <c r="G814" s="15">
        <v>34.538666666666664</v>
      </c>
    </row>
    <row r="815" spans="1:7" x14ac:dyDescent="0.35">
      <c r="A815" s="22">
        <v>43009</v>
      </c>
      <c r="B815" s="1">
        <v>30.475999999999999</v>
      </c>
      <c r="C815" s="1">
        <v>0.26400000000000001</v>
      </c>
      <c r="D815" s="1">
        <v>21.925333333333331</v>
      </c>
      <c r="E815" s="1">
        <v>30.617999999999999</v>
      </c>
      <c r="F815" s="1">
        <v>2.1036666666666668</v>
      </c>
      <c r="G815" s="15">
        <v>106.33833333333332</v>
      </c>
    </row>
    <row r="816" spans="1:7" x14ac:dyDescent="0.35">
      <c r="A816" s="22">
        <v>43040</v>
      </c>
      <c r="B816" s="1">
        <v>16.551333333333336</v>
      </c>
      <c r="C816" s="1">
        <v>0.26266666666666666</v>
      </c>
      <c r="D816" s="1">
        <v>13.965000000000002</v>
      </c>
      <c r="E816" s="1">
        <v>5.083333333333333</v>
      </c>
      <c r="F816" s="1">
        <v>3.4786666666666668</v>
      </c>
      <c r="G816" s="15">
        <v>5.8570000000000002</v>
      </c>
    </row>
    <row r="817" spans="1:7" x14ac:dyDescent="0.35">
      <c r="A817" s="22">
        <v>43070</v>
      </c>
      <c r="B817" s="1">
        <v>9.0890000000000004</v>
      </c>
      <c r="C817" s="1">
        <v>0.40566666666666668</v>
      </c>
      <c r="D817" s="1">
        <v>9.4210000000000012</v>
      </c>
      <c r="E817" s="1">
        <v>5.0123333333333333</v>
      </c>
      <c r="F817" s="1">
        <v>3.452</v>
      </c>
      <c r="G817" s="15">
        <v>4.4173333333333336</v>
      </c>
    </row>
    <row r="818" spans="1:7" x14ac:dyDescent="0.35">
      <c r="A818" s="22">
        <v>43101</v>
      </c>
      <c r="B818" s="1">
        <v>3.1876666666666669</v>
      </c>
      <c r="C818" s="1">
        <v>0.32300000000000001</v>
      </c>
      <c r="D818" s="1">
        <v>8.7583333333333329</v>
      </c>
      <c r="E818" s="1">
        <v>4.253333333333333</v>
      </c>
      <c r="F818" s="1">
        <v>2.9803333333333337</v>
      </c>
      <c r="G818" s="15">
        <v>3.9106666666666663</v>
      </c>
    </row>
    <row r="819" spans="1:7" x14ac:dyDescent="0.35">
      <c r="A819" s="22">
        <v>43132</v>
      </c>
      <c r="B819" s="1">
        <v>1.9889999999999999</v>
      </c>
      <c r="C819" s="1">
        <v>0.29066666666666668</v>
      </c>
      <c r="D819" s="1">
        <v>5.9586666666666668</v>
      </c>
      <c r="E819" s="1">
        <v>4.3333333333333331E-3</v>
      </c>
      <c r="F819" s="1">
        <v>1.8176666666666668</v>
      </c>
      <c r="G819" s="15">
        <v>3.0016666666666669</v>
      </c>
    </row>
    <row r="820" spans="1:7" x14ac:dyDescent="0.35">
      <c r="A820" s="22">
        <v>43160</v>
      </c>
      <c r="B820" s="1">
        <v>0.85266666666666657</v>
      </c>
      <c r="C820" s="1">
        <v>0.30633333333333335</v>
      </c>
      <c r="D820" s="1">
        <v>3.7113333333333336</v>
      </c>
      <c r="E820" s="1">
        <v>1.3333333333333333E-3</v>
      </c>
      <c r="F820" s="1">
        <v>0.98866666666666669</v>
      </c>
      <c r="G820" s="15">
        <v>2.1080000000000001</v>
      </c>
    </row>
    <row r="821" spans="1:7" x14ac:dyDescent="0.35">
      <c r="A821" s="22">
        <v>43191</v>
      </c>
      <c r="B821" s="1">
        <v>0.79666666666666675</v>
      </c>
      <c r="C821" s="1">
        <v>0.19866666666666666</v>
      </c>
      <c r="D821" s="1">
        <v>1.3796666666666668</v>
      </c>
      <c r="E821" s="1">
        <v>4.2000000000000003E-2</v>
      </c>
      <c r="F821" s="1">
        <v>0.55333333333333334</v>
      </c>
      <c r="G821" s="15">
        <v>1.3203333333333334</v>
      </c>
    </row>
    <row r="822" spans="1:7" x14ac:dyDescent="0.35">
      <c r="A822" s="22">
        <v>43221</v>
      </c>
      <c r="B822" s="1">
        <v>2.0636666666666668</v>
      </c>
      <c r="C822" s="1">
        <v>0.18466666666666667</v>
      </c>
      <c r="D822" s="1">
        <v>0.82399999999999995</v>
      </c>
      <c r="E822" s="1">
        <v>3.6999999999999998E-2</v>
      </c>
      <c r="F822" s="1">
        <v>0.19166666666666665</v>
      </c>
      <c r="G822" s="15">
        <v>1.8120000000000001</v>
      </c>
    </row>
    <row r="823" spans="1:7" x14ac:dyDescent="0.35">
      <c r="A823" s="22">
        <v>43252</v>
      </c>
      <c r="B823" s="1">
        <v>1.1063333333333334</v>
      </c>
      <c r="C823" s="1">
        <v>7.166666666666667E-2</v>
      </c>
      <c r="D823" s="1">
        <v>0.38399999999999995</v>
      </c>
      <c r="E823" s="1">
        <v>0</v>
      </c>
      <c r="F823" s="1">
        <v>5.6333333333333339E-2</v>
      </c>
      <c r="G823" s="15">
        <v>0.37166666666666665</v>
      </c>
    </row>
    <row r="824" spans="1:7" x14ac:dyDescent="0.35">
      <c r="A824" s="22">
        <v>43282</v>
      </c>
      <c r="B824" s="1">
        <v>2.8203333333333336</v>
      </c>
      <c r="C824" s="1">
        <v>0.10433333333333333</v>
      </c>
      <c r="D824" s="1">
        <v>0.35766666666666663</v>
      </c>
      <c r="E824" s="1">
        <v>1.4999999999999999E-2</v>
      </c>
      <c r="F824" s="1">
        <v>4.5666666666666668E-2</v>
      </c>
      <c r="G824" s="15">
        <v>0.47766666666666668</v>
      </c>
    </row>
    <row r="825" spans="1:7" x14ac:dyDescent="0.35">
      <c r="A825" s="22">
        <v>43313</v>
      </c>
      <c r="B825" s="1">
        <v>6.7086666666666668</v>
      </c>
      <c r="C825" s="1">
        <v>0.49466666666666664</v>
      </c>
      <c r="D825" s="1">
        <v>0.80799999999999994</v>
      </c>
      <c r="E825" s="1">
        <v>0</v>
      </c>
      <c r="F825" s="1">
        <v>0.01</v>
      </c>
      <c r="G825" s="15">
        <v>0.16833333333333333</v>
      </c>
    </row>
    <row r="826" spans="1:7" x14ac:dyDescent="0.35">
      <c r="A826" s="22">
        <v>43344</v>
      </c>
      <c r="B826" s="1">
        <v>15.887333333333332</v>
      </c>
      <c r="C826" s="1">
        <v>2.052</v>
      </c>
      <c r="D826" s="1">
        <v>11.939666666666668</v>
      </c>
      <c r="E826" s="1">
        <v>37.356333333333332</v>
      </c>
      <c r="F826" s="1">
        <v>4.5113333333333339</v>
      </c>
      <c r="G826" s="15">
        <v>7.1729999999999992</v>
      </c>
    </row>
    <row r="827" spans="1:7" x14ac:dyDescent="0.35">
      <c r="A827" s="22">
        <v>43374</v>
      </c>
      <c r="B827" s="1">
        <v>17.541999999999998</v>
      </c>
      <c r="C827" s="1">
        <v>3.5116666666666667</v>
      </c>
      <c r="D827" s="1">
        <v>20.332666666666665</v>
      </c>
      <c r="E827" s="1">
        <v>15.421999999999999</v>
      </c>
      <c r="F827" s="1">
        <v>4.6053333333333333</v>
      </c>
      <c r="G827" s="15">
        <v>5.3493333333333331</v>
      </c>
    </row>
    <row r="828" spans="1:7" x14ac:dyDescent="0.35">
      <c r="A828" s="22">
        <v>43405</v>
      </c>
      <c r="B828" s="1">
        <v>14.057333333333332</v>
      </c>
      <c r="C828" s="1">
        <v>0.68533333333333335</v>
      </c>
      <c r="D828" s="1">
        <v>15.523333333333333</v>
      </c>
      <c r="E828" s="1">
        <v>9.0169999999999995</v>
      </c>
      <c r="F828" s="1">
        <v>5.3963333333333336</v>
      </c>
      <c r="G828" s="15">
        <v>2.6833333333333336</v>
      </c>
    </row>
    <row r="829" spans="1:7" x14ac:dyDescent="0.35">
      <c r="A829" s="22">
        <v>43435</v>
      </c>
      <c r="B829" s="1">
        <v>2.2923333333333331</v>
      </c>
      <c r="C829" s="1">
        <v>0.62233333333333329</v>
      </c>
      <c r="D829" s="1">
        <v>11.790666666666667</v>
      </c>
      <c r="E829" s="1">
        <v>6.1223333333333336</v>
      </c>
      <c r="F829" s="1">
        <v>4.4939999999999998</v>
      </c>
      <c r="G829" s="15">
        <v>1.8169999999999999</v>
      </c>
    </row>
    <row r="830" spans="1:7" x14ac:dyDescent="0.35">
      <c r="A830" s="22">
        <v>43466</v>
      </c>
      <c r="B830" s="1">
        <v>0.58433333333333326</v>
      </c>
      <c r="C830" s="1">
        <v>0.53433333333333333</v>
      </c>
      <c r="D830" s="1">
        <v>9.1549999999999994</v>
      </c>
      <c r="E830" s="1">
        <v>5.7166666666666659</v>
      </c>
      <c r="F830" s="1">
        <v>3.6430000000000002</v>
      </c>
      <c r="G830" s="15">
        <v>1.8136666666666665</v>
      </c>
    </row>
    <row r="831" spans="1:7" x14ac:dyDescent="0.35">
      <c r="A831" s="22">
        <v>43497</v>
      </c>
      <c r="B831" s="1">
        <v>1.0589999999999999</v>
      </c>
      <c r="C831" s="1">
        <v>0.39900000000000002</v>
      </c>
      <c r="D831" s="1">
        <v>7.1253333333333337</v>
      </c>
      <c r="E831" s="1">
        <v>2.3623333333333334</v>
      </c>
      <c r="F831" s="1">
        <v>2.2159999999999997</v>
      </c>
      <c r="G831" s="15">
        <v>1.6296666666666668</v>
      </c>
    </row>
    <row r="832" spans="1:7" x14ac:dyDescent="0.35">
      <c r="A832" s="22">
        <v>43525</v>
      </c>
      <c r="B832" s="1">
        <v>6.8513333333333328</v>
      </c>
      <c r="C832" s="1">
        <v>0.42799999999999999</v>
      </c>
      <c r="D832" s="1">
        <v>4.8079999999999998</v>
      </c>
      <c r="E832" s="1">
        <v>2.4853333333333336</v>
      </c>
      <c r="F832" s="1">
        <v>1.476</v>
      </c>
      <c r="G832" s="15">
        <v>1.405</v>
      </c>
    </row>
    <row r="833" spans="1:7" x14ac:dyDescent="0.35">
      <c r="A833" s="22">
        <v>43556</v>
      </c>
      <c r="B833" s="1">
        <v>5.5256666666666669</v>
      </c>
      <c r="C833" s="1">
        <v>0.34466666666666668</v>
      </c>
      <c r="D833" s="1">
        <v>2.8936666666666664</v>
      </c>
      <c r="E833" s="1">
        <v>0.6153333333333334</v>
      </c>
      <c r="F833" s="1">
        <v>0.91600000000000004</v>
      </c>
      <c r="G833" s="15">
        <v>0.64700000000000002</v>
      </c>
    </row>
    <row r="834" spans="1:7" x14ac:dyDescent="0.35">
      <c r="A834" s="22">
        <v>43586</v>
      </c>
      <c r="B834" s="1">
        <v>1.21</v>
      </c>
      <c r="C834" s="1">
        <v>0.7443333333333334</v>
      </c>
      <c r="D834" s="1">
        <v>4.4136666666666668</v>
      </c>
      <c r="E834" s="1">
        <v>8.7000000000000008E-2</v>
      </c>
      <c r="F834" s="1">
        <v>0.94333333333333336</v>
      </c>
      <c r="G834" s="15">
        <v>1.1043333333333334</v>
      </c>
    </row>
    <row r="835" spans="1:7" x14ac:dyDescent="0.35">
      <c r="A835" s="22">
        <v>43617</v>
      </c>
      <c r="B835" s="1">
        <v>8.2193333333333332</v>
      </c>
      <c r="C835" s="1">
        <v>1.63</v>
      </c>
      <c r="D835" s="1">
        <v>8.0736666666666661</v>
      </c>
      <c r="E835" s="1">
        <v>6.7333333333333342E-2</v>
      </c>
      <c r="F835" s="1">
        <v>1.093</v>
      </c>
      <c r="G835" s="15">
        <v>0.20333333333333334</v>
      </c>
    </row>
    <row r="836" spans="1:7" x14ac:dyDescent="0.35">
      <c r="A836" s="22">
        <v>43647</v>
      </c>
      <c r="B836" s="1">
        <v>1.4536666666666667</v>
      </c>
      <c r="C836" s="1">
        <v>0.24833333333333332</v>
      </c>
      <c r="D836" s="1">
        <v>3.9863333333333331</v>
      </c>
      <c r="E836" s="1">
        <v>0.31266666666666665</v>
      </c>
      <c r="F836" s="1">
        <v>0.41333333333333333</v>
      </c>
      <c r="G836" s="15">
        <v>0.16233333333333333</v>
      </c>
    </row>
    <row r="837" spans="1:7" x14ac:dyDescent="0.35">
      <c r="A837" s="22">
        <v>43678</v>
      </c>
      <c r="B837" s="1">
        <v>1.2743333333333333</v>
      </c>
      <c r="C837" s="1">
        <v>0.11933333333333333</v>
      </c>
      <c r="D837" s="1">
        <v>1.4850000000000001</v>
      </c>
      <c r="E837" s="1">
        <v>0.53800000000000003</v>
      </c>
      <c r="F837" s="1">
        <v>5.6000000000000001E-2</v>
      </c>
      <c r="G837" s="15">
        <v>2.8666666666666668E-4</v>
      </c>
    </row>
    <row r="838" spans="1:7" x14ac:dyDescent="0.35">
      <c r="A838" s="22">
        <v>43709</v>
      </c>
      <c r="B838" s="1">
        <v>7.2540000000000004</v>
      </c>
      <c r="C838" s="1">
        <v>0.10066666666666667</v>
      </c>
      <c r="D838" s="1">
        <v>1.0743333333333334</v>
      </c>
      <c r="E838" s="1">
        <v>0</v>
      </c>
      <c r="F838" s="1">
        <v>3.4666666666666665E-2</v>
      </c>
      <c r="G838" s="15">
        <v>3.4103333333333334</v>
      </c>
    </row>
    <row r="839" spans="1:7" x14ac:dyDescent="0.35">
      <c r="A839" s="22">
        <v>43739</v>
      </c>
      <c r="B839" s="1">
        <v>10.770333333333333</v>
      </c>
      <c r="C839" s="1">
        <v>0.13999999999999999</v>
      </c>
      <c r="D839" s="1">
        <v>2.0533333333333332</v>
      </c>
      <c r="E839" s="1">
        <v>1.1533333333333333E-2</v>
      </c>
      <c r="F839" s="1">
        <v>6.2333333333333331E-2</v>
      </c>
      <c r="G839" s="15">
        <v>0.40900000000000003</v>
      </c>
    </row>
    <row r="840" spans="1:7" x14ac:dyDescent="0.35">
      <c r="A840" s="22">
        <v>43770</v>
      </c>
      <c r="B840" s="1">
        <v>13.406333333333334</v>
      </c>
      <c r="C840" s="1">
        <v>0.214</v>
      </c>
      <c r="D840" s="1">
        <v>0.98566666666666658</v>
      </c>
      <c r="E840" s="1">
        <v>0</v>
      </c>
      <c r="F840" s="1">
        <v>0.19233333333333333</v>
      </c>
      <c r="G840" s="15">
        <v>0.17400000000000002</v>
      </c>
    </row>
    <row r="841" spans="1:7" x14ac:dyDescent="0.35">
      <c r="A841" s="22">
        <v>43800</v>
      </c>
      <c r="B841" s="1">
        <v>13.040666666666667</v>
      </c>
      <c r="C841" s="1">
        <v>0.20733333333333334</v>
      </c>
      <c r="D841" s="1">
        <v>1.8206666666666667</v>
      </c>
      <c r="E841" s="1">
        <v>0</v>
      </c>
      <c r="F841" s="1">
        <v>0.34433333333333332</v>
      </c>
      <c r="G841" s="15">
        <v>9.3333333333333338E-2</v>
      </c>
    </row>
    <row r="842" spans="1:7" x14ac:dyDescent="0.35">
      <c r="A842" s="22">
        <v>43831</v>
      </c>
      <c r="B842" s="1">
        <v>5.9036666666666662</v>
      </c>
      <c r="C842" s="1">
        <v>0.251</v>
      </c>
      <c r="D842" s="1">
        <v>1.1466666666666667</v>
      </c>
      <c r="E842" s="1">
        <v>0</v>
      </c>
      <c r="F842" s="1">
        <v>0.56866666666666665</v>
      </c>
      <c r="G842" s="15">
        <v>0.15633333333333332</v>
      </c>
    </row>
    <row r="843" spans="1:7" x14ac:dyDescent="0.35">
      <c r="A843" s="22">
        <v>43862</v>
      </c>
      <c r="B843" s="1">
        <v>0.57033333333333336</v>
      </c>
      <c r="C843" s="1">
        <v>0.22366666666666668</v>
      </c>
      <c r="D843" s="1">
        <v>0.82933333333333337</v>
      </c>
      <c r="E843" s="1">
        <v>0</v>
      </c>
      <c r="F843" s="1">
        <v>0.57333333333333336</v>
      </c>
      <c r="G843" s="15">
        <v>0.16633333333333333</v>
      </c>
    </row>
    <row r="844" spans="1:7" x14ac:dyDescent="0.35">
      <c r="A844" s="22">
        <v>43891</v>
      </c>
      <c r="B844" s="1">
        <v>0.68500000000000005</v>
      </c>
      <c r="C844" s="1">
        <v>0.39033333333333337</v>
      </c>
      <c r="D844" s="1">
        <v>0.94233333333333336</v>
      </c>
      <c r="E844" s="1">
        <v>0</v>
      </c>
      <c r="F844" s="1">
        <v>0.22533333333333336</v>
      </c>
      <c r="G844" s="15">
        <v>12.577</v>
      </c>
    </row>
    <row r="845" spans="1:7" x14ac:dyDescent="0.35">
      <c r="A845" s="22">
        <v>43922</v>
      </c>
      <c r="B845" s="1">
        <v>0.77400000000000002</v>
      </c>
      <c r="C845" s="1">
        <v>0.19466666666666665</v>
      </c>
      <c r="D845" s="1">
        <v>0.71533333333333327</v>
      </c>
      <c r="E845" s="1">
        <v>0</v>
      </c>
      <c r="F845" s="1">
        <v>0.125</v>
      </c>
      <c r="G845" s="15">
        <v>0.69099999999999995</v>
      </c>
    </row>
    <row r="846" spans="1:7" x14ac:dyDescent="0.35">
      <c r="A846" s="22">
        <v>43952</v>
      </c>
      <c r="B846" s="1">
        <v>1.4800000000000002</v>
      </c>
      <c r="C846" s="1">
        <v>0.13533333333333333</v>
      </c>
      <c r="D846" s="1">
        <v>0.22266666666666668</v>
      </c>
      <c r="E846" s="1">
        <v>0</v>
      </c>
      <c r="F846" s="1">
        <v>0.21099999999999999</v>
      </c>
      <c r="G846" s="15">
        <v>3.69</v>
      </c>
    </row>
    <row r="847" spans="1:7" x14ac:dyDescent="0.35">
      <c r="A847" s="22">
        <v>43983</v>
      </c>
      <c r="B847" s="1">
        <v>8.5310000000000006</v>
      </c>
      <c r="C847" s="1">
        <v>7.0666666666666669E-2</v>
      </c>
      <c r="D847" s="1">
        <v>0.40566666666666668</v>
      </c>
      <c r="E847" s="1">
        <v>0</v>
      </c>
      <c r="F847" s="1">
        <v>4.3666666666666666E-2</v>
      </c>
      <c r="G847" s="15">
        <v>2.6056666666666666</v>
      </c>
    </row>
    <row r="848" spans="1:7" x14ac:dyDescent="0.35">
      <c r="A848" s="22">
        <v>44013</v>
      </c>
      <c r="B848" s="1">
        <v>13.141</v>
      </c>
      <c r="C848" s="1">
        <v>5.5333333333333339E-2</v>
      </c>
      <c r="D848" s="1">
        <v>0.30099999999999999</v>
      </c>
      <c r="E848" s="1">
        <v>0</v>
      </c>
      <c r="F848" s="1">
        <v>2.4999999999999998E-2</v>
      </c>
      <c r="G848" s="15">
        <v>3.9013333333333335</v>
      </c>
    </row>
    <row r="849" spans="1:7" x14ac:dyDescent="0.35">
      <c r="A849" s="22">
        <v>44044</v>
      </c>
      <c r="B849" s="1">
        <v>10.262592</v>
      </c>
      <c r="C849" s="1">
        <v>3.7151999999999998E-2</v>
      </c>
      <c r="D849" s="1">
        <v>0.14025599999999999</v>
      </c>
      <c r="E849" s="1">
        <v>0</v>
      </c>
      <c r="F849" s="1">
        <v>1.5264000000000002E-2</v>
      </c>
      <c r="G849" s="15">
        <v>4.9921920000000002</v>
      </c>
    </row>
    <row r="850" spans="1:7" x14ac:dyDescent="0.35">
      <c r="A850" s="22">
        <v>44075</v>
      </c>
      <c r="B850" s="1">
        <v>34.110720000000001</v>
      </c>
      <c r="C850" s="1">
        <v>0.22118399999999996</v>
      </c>
      <c r="D850" s="1">
        <v>2.505312</v>
      </c>
      <c r="E850" s="1">
        <v>0</v>
      </c>
      <c r="F850" s="1">
        <v>8.1215999999999955E-2</v>
      </c>
      <c r="G850" s="15">
        <v>2.5683839999999996</v>
      </c>
    </row>
    <row r="851" spans="1:7" x14ac:dyDescent="0.35">
      <c r="A851" s="22">
        <v>44105</v>
      </c>
      <c r="B851" s="1">
        <v>22.201920000000008</v>
      </c>
      <c r="C851" s="1">
        <v>6.0768000000000023E-2</v>
      </c>
      <c r="D851" s="1">
        <v>1.8743040000000002</v>
      </c>
      <c r="E851" s="1">
        <v>0</v>
      </c>
      <c r="F851" s="1">
        <v>3.1104000000000003E-2</v>
      </c>
      <c r="G851" s="15">
        <v>0.93024000000000018</v>
      </c>
    </row>
    <row r="852" spans="1:7" x14ac:dyDescent="0.35">
      <c r="A852" s="22">
        <v>44136</v>
      </c>
      <c r="B852" s="1">
        <v>16.149312000000002</v>
      </c>
      <c r="C852" s="1">
        <v>6.854399999999998E-2</v>
      </c>
      <c r="D852" s="1">
        <v>0.49622400000000011</v>
      </c>
      <c r="E852" s="1">
        <v>0</v>
      </c>
      <c r="F852" s="1">
        <v>3.4559999999999994E-2</v>
      </c>
      <c r="G852" s="15">
        <v>0.499392</v>
      </c>
    </row>
    <row r="853" spans="1:7" x14ac:dyDescent="0.35">
      <c r="A853" s="22">
        <v>44166</v>
      </c>
      <c r="B853" s="1">
        <v>1.9249920000000003</v>
      </c>
      <c r="C853" s="1">
        <v>0.15811199999999997</v>
      </c>
      <c r="D853" s="1">
        <v>0.52415999999999996</v>
      </c>
      <c r="E853" s="1">
        <v>0</v>
      </c>
      <c r="F853" s="1">
        <v>7.8335999999999989E-2</v>
      </c>
      <c r="G853" s="15">
        <v>0.627552</v>
      </c>
    </row>
    <row r="854" spans="1:7" x14ac:dyDescent="0.35">
      <c r="A854" s="22">
        <v>44197</v>
      </c>
      <c r="B854" s="1">
        <v>1.4353920000000002</v>
      </c>
      <c r="C854" s="1">
        <v>0.19123200000000004</v>
      </c>
      <c r="D854" s="1">
        <v>0.59529600000000005</v>
      </c>
      <c r="E854" s="1">
        <v>0</v>
      </c>
      <c r="F854" s="1">
        <v>0.17740800000000001</v>
      </c>
      <c r="G854" s="15">
        <v>0.88243200000000011</v>
      </c>
    </row>
    <row r="855" spans="1:7" x14ac:dyDescent="0.35">
      <c r="A855" s="22">
        <v>44228</v>
      </c>
      <c r="B855" s="1">
        <v>0.49161600000000005</v>
      </c>
      <c r="C855" s="1">
        <v>0.177984</v>
      </c>
      <c r="D855" s="1">
        <v>0.70444799999999996</v>
      </c>
      <c r="E855" s="1">
        <v>0</v>
      </c>
      <c r="F855" s="1">
        <v>0.25315200000000004</v>
      </c>
      <c r="G855" s="15">
        <v>0.62063999999999997</v>
      </c>
    </row>
    <row r="856" spans="1:7" x14ac:dyDescent="0.35">
      <c r="A856" s="22">
        <v>44256</v>
      </c>
      <c r="B856" s="1">
        <v>0.46224000000000004</v>
      </c>
      <c r="C856" s="1">
        <v>0.18028799999999995</v>
      </c>
      <c r="D856" s="1">
        <v>0.64252799999999999</v>
      </c>
      <c r="E856" s="1">
        <v>0</v>
      </c>
      <c r="F856" s="1">
        <v>0.15379199999999987</v>
      </c>
      <c r="G856" s="15">
        <v>0.33983999999999986</v>
      </c>
    </row>
    <row r="857" spans="1:7" x14ac:dyDescent="0.35">
      <c r="A857" s="22">
        <v>44287</v>
      </c>
      <c r="B857" s="1">
        <v>0.65347200000000016</v>
      </c>
      <c r="C857" s="1">
        <v>0.20015999999999998</v>
      </c>
      <c r="D857" s="1">
        <v>0.54345599999999994</v>
      </c>
      <c r="E857" s="1">
        <v>0</v>
      </c>
      <c r="F857" s="1">
        <v>5.1551999999999987E-2</v>
      </c>
      <c r="G857" s="15">
        <v>8.9855999999999991E-2</v>
      </c>
    </row>
    <row r="858" spans="1:7" x14ac:dyDescent="0.35">
      <c r="A858" s="22">
        <v>44317</v>
      </c>
      <c r="B858" s="1">
        <v>1.2954240000000004</v>
      </c>
      <c r="C858" s="1">
        <v>0.39369600000000005</v>
      </c>
      <c r="D858" s="1">
        <v>0.73036800000000013</v>
      </c>
      <c r="E858" s="1">
        <v>0</v>
      </c>
      <c r="F858" s="1">
        <v>0.10684800000000001</v>
      </c>
      <c r="G858" s="15">
        <v>0.22636800000000004</v>
      </c>
    </row>
    <row r="859" spans="1:7" x14ac:dyDescent="0.35">
      <c r="A859" s="22">
        <v>44348</v>
      </c>
      <c r="B859" s="1">
        <v>6.3803520000000002</v>
      </c>
      <c r="C859" s="1">
        <v>0.43228800000000001</v>
      </c>
      <c r="D859" s="1">
        <v>2.8419839999999996</v>
      </c>
      <c r="E859" s="1">
        <v>6.4799999999999996E-2</v>
      </c>
      <c r="F859" s="1">
        <v>0.65808</v>
      </c>
      <c r="G859" s="15">
        <v>1.1594880000000001</v>
      </c>
    </row>
    <row r="860" spans="1:7" x14ac:dyDescent="0.35">
      <c r="A860" s="22">
        <v>44378</v>
      </c>
      <c r="B860" s="1">
        <v>7.8019200000000009</v>
      </c>
      <c r="C860" s="1">
        <v>0.35510399999999998</v>
      </c>
      <c r="D860" s="1">
        <v>1.4483520000000001</v>
      </c>
      <c r="E860" s="1">
        <v>0.12556799999999999</v>
      </c>
      <c r="F860" s="1">
        <v>0.14831999999999998</v>
      </c>
      <c r="G860" s="15">
        <v>1.2689280000000001</v>
      </c>
    </row>
    <row r="861" spans="1:7" x14ac:dyDescent="0.35">
      <c r="A861" s="22">
        <v>44409</v>
      </c>
      <c r="B861" s="1">
        <v>8.9533440000000013</v>
      </c>
      <c r="C861" s="1">
        <v>0.19958399999999996</v>
      </c>
      <c r="D861" s="1">
        <v>0.57599999999999996</v>
      </c>
      <c r="E861" s="1">
        <v>1.152E-3</v>
      </c>
      <c r="F861" s="1">
        <v>5.8463999999999988E-2</v>
      </c>
      <c r="G861" s="15">
        <v>0.98841599999999985</v>
      </c>
    </row>
    <row r="862" spans="1:7" x14ac:dyDescent="0.35">
      <c r="A862" s="22">
        <v>44440</v>
      </c>
      <c r="B862" s="1">
        <v>1.6064640000000001</v>
      </c>
      <c r="C862" s="1">
        <v>6.4800000000000024E-2</v>
      </c>
      <c r="D862" s="1">
        <v>0.31737599999999994</v>
      </c>
      <c r="E862" s="1">
        <v>0</v>
      </c>
      <c r="F862" s="1">
        <v>5.7600000000000001E-4</v>
      </c>
      <c r="G862" s="15">
        <v>0</v>
      </c>
    </row>
    <row r="863" spans="1:7" x14ac:dyDescent="0.35">
      <c r="A863" s="22">
        <v>44470</v>
      </c>
      <c r="B863" s="1">
        <v>0.85248000000000013</v>
      </c>
      <c r="C863" s="1">
        <v>0.25920000000000004</v>
      </c>
      <c r="D863" s="1">
        <v>1.22976</v>
      </c>
      <c r="E863" s="1">
        <v>1.4400000000000001E-3</v>
      </c>
      <c r="F863" s="1">
        <v>6.6240000000000005E-3</v>
      </c>
      <c r="G863" s="15">
        <v>0.47289600000000004</v>
      </c>
    </row>
    <row r="864" spans="1:7" x14ac:dyDescent="0.35">
      <c r="A864" s="22">
        <v>44501</v>
      </c>
      <c r="B864" s="1">
        <v>0.28022400000000008</v>
      </c>
      <c r="C864" s="1">
        <v>4.8671999999999972E-2</v>
      </c>
      <c r="D864" s="1">
        <v>0.36777600000000005</v>
      </c>
      <c r="E864" s="1">
        <v>0</v>
      </c>
      <c r="F864" s="1">
        <v>3.7440000000000004E-3</v>
      </c>
      <c r="G864" s="15">
        <v>8.179199999999999E-2</v>
      </c>
    </row>
    <row r="865" spans="1:7" x14ac:dyDescent="0.35">
      <c r="A865" s="22">
        <v>44531</v>
      </c>
      <c r="B865" s="1">
        <v>0.26150400000000007</v>
      </c>
      <c r="C865" s="1">
        <v>7.1999999999999967E-2</v>
      </c>
      <c r="D865" s="1">
        <v>0.42998400000000014</v>
      </c>
      <c r="E865" s="1">
        <v>0</v>
      </c>
      <c r="F865" s="1">
        <v>2.7648000000000002E-2</v>
      </c>
      <c r="G865" s="15">
        <v>0</v>
      </c>
    </row>
    <row r="866" spans="1:7" x14ac:dyDescent="0.35">
      <c r="A866" s="22">
        <v>44562</v>
      </c>
      <c r="B866" s="1">
        <v>0.24163200000000012</v>
      </c>
      <c r="C866" s="1">
        <v>8.2943999999999934E-2</v>
      </c>
      <c r="D866" s="1">
        <v>0.76751999999999998</v>
      </c>
      <c r="E866" s="1">
        <v>0</v>
      </c>
      <c r="F866" s="1">
        <v>8.3519999999999983E-2</v>
      </c>
      <c r="G866" s="15">
        <v>0</v>
      </c>
    </row>
    <row r="867" spans="1:7" x14ac:dyDescent="0.35">
      <c r="A867" s="22">
        <v>44593</v>
      </c>
      <c r="B867" s="1">
        <v>0.21398400000000004</v>
      </c>
      <c r="C867" s="1">
        <v>9.446400000000002E-2</v>
      </c>
      <c r="D867" s="1">
        <v>0.47664000000000012</v>
      </c>
      <c r="E867" s="1">
        <v>0</v>
      </c>
      <c r="F867" s="1">
        <v>0.11001599999999999</v>
      </c>
      <c r="G867" s="15">
        <v>0</v>
      </c>
    </row>
    <row r="868" spans="1:7" x14ac:dyDescent="0.35">
      <c r="A868" s="22">
        <v>44621</v>
      </c>
      <c r="B868" s="1">
        <v>0.24278400000000011</v>
      </c>
      <c r="C868" s="1">
        <v>8.9855999999999978E-2</v>
      </c>
      <c r="D868" s="1">
        <v>0.22118399999999999</v>
      </c>
      <c r="E868" s="1">
        <v>0</v>
      </c>
      <c r="F868" s="1">
        <v>5.9903999999999971E-2</v>
      </c>
      <c r="G868" s="15">
        <v>0</v>
      </c>
    </row>
    <row r="869" spans="1:7" x14ac:dyDescent="0.35">
      <c r="A869" s="22">
        <v>44652</v>
      </c>
      <c r="B869" s="1">
        <v>0.23904000000000003</v>
      </c>
      <c r="C869" s="1">
        <v>6.1055999999999999E-2</v>
      </c>
      <c r="D869" s="1">
        <v>0.16070399999999996</v>
      </c>
      <c r="E869" s="1">
        <v>0</v>
      </c>
      <c r="F869" s="1">
        <v>5.7023999999999991E-2</v>
      </c>
      <c r="G869" s="15">
        <v>0</v>
      </c>
    </row>
    <row r="870" spans="1:7" x14ac:dyDescent="0.35">
      <c r="A870" s="22">
        <v>44682</v>
      </c>
      <c r="B870" s="1">
        <v>0.27792</v>
      </c>
      <c r="C870" s="1">
        <v>1.6084799999999997</v>
      </c>
      <c r="D870" s="1">
        <v>0.150336</v>
      </c>
      <c r="E870" s="1">
        <v>0</v>
      </c>
      <c r="F870" s="1">
        <v>0.70588799999999985</v>
      </c>
      <c r="G870" s="15">
        <v>0</v>
      </c>
    </row>
    <row r="871" spans="1:7" x14ac:dyDescent="0.35">
      <c r="A871" s="22">
        <v>44713</v>
      </c>
      <c r="B871" s="1">
        <v>1.3959360000000005</v>
      </c>
      <c r="C871" s="1">
        <v>3.2256E-2</v>
      </c>
      <c r="D871" s="1">
        <v>3.9456000000000005E-2</v>
      </c>
      <c r="E871" s="1">
        <v>0</v>
      </c>
      <c r="F871" s="1">
        <v>2.8224000000000003E-2</v>
      </c>
      <c r="G871" s="15">
        <v>0</v>
      </c>
    </row>
    <row r="872" spans="1:7" x14ac:dyDescent="0.35">
      <c r="A872" s="22">
        <v>44743</v>
      </c>
      <c r="B872" s="1">
        <v>2.6418239999999997</v>
      </c>
      <c r="C872" s="1">
        <v>2.1888000000000001E-2</v>
      </c>
      <c r="D872" s="1">
        <v>3.7151999999999998E-2</v>
      </c>
      <c r="E872" s="1">
        <v>0</v>
      </c>
      <c r="F872" s="1">
        <v>5.9039999999999974E-2</v>
      </c>
      <c r="G872" s="15">
        <v>0</v>
      </c>
    </row>
    <row r="873" spans="1:7" x14ac:dyDescent="0.35">
      <c r="A873" s="22">
        <v>44774</v>
      </c>
      <c r="B873" s="1">
        <v>43.449120000000001</v>
      </c>
      <c r="C873" s="1">
        <v>0.99302399999999991</v>
      </c>
      <c r="D873" s="1">
        <v>3.9427199999999996</v>
      </c>
      <c r="E873" s="1">
        <v>1.9342080000000004</v>
      </c>
      <c r="F873" s="1">
        <v>1.099872</v>
      </c>
      <c r="G873" s="15">
        <v>0.45820800000000006</v>
      </c>
    </row>
    <row r="874" spans="1:7" x14ac:dyDescent="0.35">
      <c r="A874" s="22">
        <v>44805</v>
      </c>
      <c r="B874" s="1">
        <v>157.68576000000002</v>
      </c>
      <c r="C874" s="1">
        <v>0.90662399999999999</v>
      </c>
      <c r="D874" s="1">
        <v>13.414752000000002</v>
      </c>
      <c r="E874" s="1">
        <v>2.6657279999999997</v>
      </c>
      <c r="F874" s="1">
        <v>0.22809599999999999</v>
      </c>
      <c r="G874" s="15">
        <v>10.873727999999998</v>
      </c>
    </row>
    <row r="875" spans="1:7" x14ac:dyDescent="0.35">
      <c r="A875" s="22">
        <v>44835</v>
      </c>
      <c r="B875" s="1">
        <v>43.632000000000005</v>
      </c>
      <c r="C875" s="1">
        <v>0.60249600000000003</v>
      </c>
      <c r="D875" s="1">
        <v>7.9286400000000015</v>
      </c>
      <c r="E875" s="1">
        <v>0.47116800000000009</v>
      </c>
      <c r="F875" s="1">
        <v>9.9935999999999983E-2</v>
      </c>
      <c r="G875" s="15">
        <v>0.54057600000000006</v>
      </c>
    </row>
    <row r="876" spans="1:7" x14ac:dyDescent="0.35">
      <c r="A876" s="22">
        <v>44866</v>
      </c>
      <c r="B876" s="1">
        <v>8.9639999999999986</v>
      </c>
      <c r="C876" s="1">
        <v>0.18575999999999998</v>
      </c>
      <c r="D876" s="1">
        <v>4.3528319999999994</v>
      </c>
      <c r="E876" s="1">
        <v>1.0091519999999998</v>
      </c>
      <c r="F876" s="1">
        <v>8.9279999999999998E-2</v>
      </c>
      <c r="G876" s="15">
        <v>4.9535999999999997E-2</v>
      </c>
    </row>
    <row r="877" spans="1:7" x14ac:dyDescent="0.35">
      <c r="A877" s="22">
        <v>44896</v>
      </c>
      <c r="B877" s="1">
        <v>4.9239359999999985</v>
      </c>
      <c r="C877" s="1">
        <v>0.19929599999999995</v>
      </c>
      <c r="D877" s="1">
        <v>3.602592</v>
      </c>
      <c r="E877" s="1">
        <v>0.74880000000000002</v>
      </c>
      <c r="F877" s="1">
        <v>0.21081599999999995</v>
      </c>
      <c r="G877" s="15">
        <v>0</v>
      </c>
    </row>
    <row r="878" spans="1:7" x14ac:dyDescent="0.35">
      <c r="A878" s="22">
        <v>44927</v>
      </c>
      <c r="B878" s="1">
        <v>2.7334080000000007</v>
      </c>
      <c r="C878" s="1">
        <v>0.18000000000000005</v>
      </c>
      <c r="D878" s="1">
        <v>3.4781760000000004</v>
      </c>
      <c r="E878" s="1">
        <v>0.32659199999999999</v>
      </c>
      <c r="F878" s="1">
        <v>0.234432</v>
      </c>
      <c r="G878" s="15">
        <v>0</v>
      </c>
    </row>
    <row r="879" spans="1:7" x14ac:dyDescent="0.35">
      <c r="A879" s="22">
        <v>44958</v>
      </c>
      <c r="B879" s="1">
        <v>2.1309119999999999</v>
      </c>
      <c r="C879" s="1">
        <v>0.16963200000000001</v>
      </c>
      <c r="D879" s="1">
        <v>2.325888</v>
      </c>
      <c r="E879" s="1">
        <v>7.9488000000000003E-2</v>
      </c>
      <c r="F879" s="1">
        <v>0.23414400000000005</v>
      </c>
      <c r="G879" s="15">
        <v>0</v>
      </c>
    </row>
    <row r="880" spans="1:7" x14ac:dyDescent="0.35">
      <c r="A880" s="22">
        <v>44986</v>
      </c>
      <c r="B880" s="1">
        <v>1.180512</v>
      </c>
      <c r="C880" s="1">
        <v>0.22550400000000004</v>
      </c>
      <c r="D880" s="1">
        <v>0.98323199999999999</v>
      </c>
      <c r="E880" s="1">
        <v>0</v>
      </c>
      <c r="F880" s="1">
        <v>0.198432</v>
      </c>
      <c r="G880" s="15">
        <v>0</v>
      </c>
    </row>
    <row r="881" spans="1:7" x14ac:dyDescent="0.35">
      <c r="A881" s="22">
        <v>45017</v>
      </c>
      <c r="B881" s="1">
        <v>1.184256</v>
      </c>
      <c r="C881" s="1">
        <v>0.36489600000000005</v>
      </c>
      <c r="D881" s="1">
        <v>0.952704</v>
      </c>
      <c r="E881" s="1">
        <v>0.73584000000000016</v>
      </c>
      <c r="F881" s="1">
        <v>0.23500799999999997</v>
      </c>
      <c r="G881" s="15">
        <v>0</v>
      </c>
    </row>
    <row r="882" spans="1:7" x14ac:dyDescent="0.35">
      <c r="A882" s="22">
        <v>45047</v>
      </c>
      <c r="B882" s="1">
        <v>9.0308160000000015</v>
      </c>
      <c r="C882" s="1">
        <v>1.017504</v>
      </c>
      <c r="D882" s="1">
        <v>2.6092800000000005</v>
      </c>
      <c r="E882" s="1">
        <v>0.29030400000000001</v>
      </c>
      <c r="F882" s="1">
        <v>0.28137599999999996</v>
      </c>
      <c r="G882" s="15">
        <v>2.622528</v>
      </c>
    </row>
    <row r="883" spans="1:7" x14ac:dyDescent="0.35">
      <c r="A883" s="22">
        <v>45078</v>
      </c>
      <c r="B883" s="1">
        <v>1.5678720000000008</v>
      </c>
      <c r="C883" s="1">
        <v>0.17596799999999996</v>
      </c>
      <c r="D883" s="1">
        <v>2.0355840000000005</v>
      </c>
      <c r="E883" s="1">
        <v>0</v>
      </c>
      <c r="F883" s="1">
        <v>0.25171199999999999</v>
      </c>
      <c r="G883" s="15">
        <v>0.38995200000000002</v>
      </c>
    </row>
    <row r="884" spans="1:7" x14ac:dyDescent="0.35">
      <c r="A884" s="22">
        <v>45108</v>
      </c>
      <c r="B884" s="1">
        <v>1.4244479999999999</v>
      </c>
      <c r="C884" s="1">
        <v>8.3807999999999938E-2</v>
      </c>
      <c r="D884" s="1">
        <v>0.44726400000000005</v>
      </c>
      <c r="E884" s="1">
        <v>1.2384000000000001E-2</v>
      </c>
      <c r="F884" s="1">
        <v>9.3311999999999978E-2</v>
      </c>
      <c r="G884" s="15">
        <v>0.29865599999999998</v>
      </c>
    </row>
    <row r="885" spans="1:7" x14ac:dyDescent="0.35">
      <c r="A885" s="22">
        <v>45139</v>
      </c>
      <c r="B885" s="1">
        <v>1.2925439999999999</v>
      </c>
      <c r="C885" s="1">
        <v>0.11404800000000001</v>
      </c>
      <c r="D885" s="1">
        <v>2.8059839999999996</v>
      </c>
      <c r="E885" s="1">
        <v>0.13103999999999999</v>
      </c>
      <c r="F885" s="1">
        <v>0.12326400000000001</v>
      </c>
      <c r="G885" s="15">
        <v>0</v>
      </c>
    </row>
    <row r="886" spans="1:7" x14ac:dyDescent="0.35">
      <c r="A886" s="22">
        <v>45170</v>
      </c>
      <c r="B886" s="1">
        <v>4.5106560000000009</v>
      </c>
      <c r="C886" s="1">
        <v>5.7311999999999988E-2</v>
      </c>
      <c r="D886" s="1">
        <v>4.3050240000000004</v>
      </c>
      <c r="E886" s="1">
        <v>1.5552E-2</v>
      </c>
      <c r="F886" s="1">
        <v>4.838399999999999E-2</v>
      </c>
      <c r="G886" s="15">
        <v>1.0336319999999999</v>
      </c>
    </row>
    <row r="887" spans="1:7" x14ac:dyDescent="0.35">
      <c r="A887" s="22">
        <v>45200</v>
      </c>
      <c r="B887" s="1">
        <v>0.47923200000000005</v>
      </c>
      <c r="C887" s="1">
        <v>9.3887999999999999E-2</v>
      </c>
      <c r="D887" s="1">
        <v>1.731168</v>
      </c>
      <c r="E887" s="1">
        <v>0</v>
      </c>
      <c r="F887" s="1">
        <v>2.8800000000000002E-3</v>
      </c>
      <c r="G887" s="15">
        <v>1.3887360000000002</v>
      </c>
    </row>
    <row r="888" spans="1:7" x14ac:dyDescent="0.35">
      <c r="A888" s="22">
        <v>45231</v>
      </c>
      <c r="B888" s="1">
        <v>0.29692799999999997</v>
      </c>
      <c r="C888" s="1">
        <v>0.11347200000000003</v>
      </c>
      <c r="D888" s="1">
        <v>1.4961599999999997</v>
      </c>
      <c r="E888" s="1">
        <v>0</v>
      </c>
      <c r="F888" s="1">
        <v>2.2464000000000001E-2</v>
      </c>
      <c r="G888" s="15">
        <v>7.5455999999999995E-2</v>
      </c>
    </row>
    <row r="889" spans="1:7" x14ac:dyDescent="0.35">
      <c r="A889" s="22">
        <v>45261</v>
      </c>
      <c r="B889" s="1">
        <v>0.26640000000000003</v>
      </c>
      <c r="C889" s="1">
        <v>0.15983999999999998</v>
      </c>
      <c r="D889" s="1">
        <v>1.07856</v>
      </c>
      <c r="E889" s="1">
        <v>0</v>
      </c>
      <c r="F889" s="1">
        <v>1.0944000000000001E-2</v>
      </c>
      <c r="G889" s="15">
        <v>3.4560000000000003E-3</v>
      </c>
    </row>
    <row r="890" spans="1:7" x14ac:dyDescent="0.35">
      <c r="A890" s="22">
        <v>45292</v>
      </c>
      <c r="B890" s="1">
        <v>0.38016000000000005</v>
      </c>
      <c r="C890" s="1">
        <v>0.16847999999999999</v>
      </c>
      <c r="D890" s="1">
        <v>1.0238400000000001</v>
      </c>
      <c r="E890" s="1">
        <v>0</v>
      </c>
      <c r="F890" s="1">
        <v>4.2336000000000006E-2</v>
      </c>
      <c r="G890" s="15">
        <v>0</v>
      </c>
    </row>
    <row r="891" spans="1:7" x14ac:dyDescent="0.35">
      <c r="A891" s="22">
        <v>45323</v>
      </c>
      <c r="B891" s="1">
        <v>0.159552</v>
      </c>
      <c r="C891" s="1">
        <v>0.14255999999999999</v>
      </c>
      <c r="D891" s="1">
        <v>0.8354879999999999</v>
      </c>
      <c r="E891" s="1">
        <v>0</v>
      </c>
      <c r="F891" s="1">
        <v>6.364800000000001E-2</v>
      </c>
      <c r="G891" s="15">
        <v>0</v>
      </c>
    </row>
    <row r="892" spans="1:7" x14ac:dyDescent="0.35">
      <c r="A892" s="22">
        <v>45352</v>
      </c>
      <c r="B892" s="1">
        <v>0.179424</v>
      </c>
      <c r="C892" s="1">
        <v>0.13334400000000005</v>
      </c>
      <c r="D892" s="1">
        <v>0.6710400000000003</v>
      </c>
      <c r="E892" s="1">
        <v>0</v>
      </c>
      <c r="F892" s="1">
        <v>7.6895999999999992E-2</v>
      </c>
      <c r="G892" s="15">
        <v>3.1043520000000004</v>
      </c>
    </row>
    <row r="893" spans="1:7" x14ac:dyDescent="0.35">
      <c r="A893" s="22">
        <v>45383</v>
      </c>
      <c r="B893" s="1">
        <v>0.37382399999999999</v>
      </c>
      <c r="C893" s="1">
        <v>8.9567999999999953E-2</v>
      </c>
      <c r="D893" s="1">
        <v>0.42249600000000004</v>
      </c>
      <c r="E893" s="1">
        <v>0</v>
      </c>
      <c r="F893" s="1">
        <v>4.1472000000000002E-2</v>
      </c>
      <c r="G893" s="15">
        <v>4.0319999999999995E-2</v>
      </c>
    </row>
    <row r="894" spans="1:7" x14ac:dyDescent="0.35">
      <c r="A894" s="22">
        <v>45413</v>
      </c>
      <c r="B894" s="1">
        <v>0.32342399999999999</v>
      </c>
      <c r="C894" s="1">
        <v>0.10137600000000004</v>
      </c>
      <c r="D894" s="1">
        <v>0.30844800000000006</v>
      </c>
      <c r="E894" s="1">
        <v>0</v>
      </c>
      <c r="F894" s="1">
        <v>1.8720000000000001E-2</v>
      </c>
      <c r="G894" s="15">
        <v>0.59040000000000004</v>
      </c>
    </row>
    <row r="895" spans="1:7" x14ac:dyDescent="0.35">
      <c r="A895" s="22">
        <v>45444</v>
      </c>
      <c r="B895" s="1">
        <v>0.46684800000000004</v>
      </c>
      <c r="C895" s="1">
        <v>5.8751999999999999E-2</v>
      </c>
      <c r="D895" s="1">
        <v>0.26236799999999999</v>
      </c>
      <c r="E895" s="1">
        <v>0</v>
      </c>
      <c r="F895" s="1">
        <v>4.6080000000000001E-3</v>
      </c>
      <c r="G895" s="15">
        <v>7.5864960000000004</v>
      </c>
    </row>
    <row r="896" spans="1:7" x14ac:dyDescent="0.35">
      <c r="A896" s="22">
        <v>45474</v>
      </c>
      <c r="B896" s="1">
        <v>4.9207679999999998</v>
      </c>
      <c r="C896" s="1">
        <v>4.9535999999999997E-2</v>
      </c>
      <c r="D896" s="1">
        <v>1.0437120000000002</v>
      </c>
      <c r="E896" s="1">
        <v>0</v>
      </c>
      <c r="F896" s="1">
        <v>0</v>
      </c>
      <c r="G896" s="15">
        <v>3.482784000000001</v>
      </c>
    </row>
    <row r="897" spans="1:7" x14ac:dyDescent="0.35">
      <c r="A897" s="22">
        <v>45505</v>
      </c>
      <c r="B897" s="1">
        <v>0.95040000000000013</v>
      </c>
      <c r="C897" s="1">
        <v>3.4272000000000004E-2</v>
      </c>
      <c r="D897" s="1">
        <v>0.37756800000000001</v>
      </c>
      <c r="E897" s="1">
        <v>0</v>
      </c>
      <c r="F897" s="1">
        <v>5.7600000000000001E-4</v>
      </c>
      <c r="G897" s="15">
        <v>0.59702399999999989</v>
      </c>
    </row>
    <row r="898" spans="1:7" x14ac:dyDescent="0.35">
      <c r="A898" s="22">
        <v>45536</v>
      </c>
      <c r="B898" s="1">
        <v>8.365535999999997</v>
      </c>
      <c r="C898" s="1">
        <v>0.65491199999999994</v>
      </c>
      <c r="D898" s="1">
        <v>3.3785280000000006</v>
      </c>
      <c r="E898" s="1">
        <v>3.0240000000000003E-2</v>
      </c>
      <c r="F898" s="1">
        <v>0.12700800000000001</v>
      </c>
      <c r="G898" s="15">
        <v>8.2022400000000015</v>
      </c>
    </row>
    <row r="899" spans="1:7" x14ac:dyDescent="0.35">
      <c r="A899" s="22">
        <v>45566</v>
      </c>
      <c r="B899" s="1">
        <v>0.48326400000000003</v>
      </c>
      <c r="C899" s="1">
        <v>5.3279999999999987E-2</v>
      </c>
      <c r="D899" s="1">
        <v>1.4849279999999998</v>
      </c>
      <c r="E899" s="1">
        <v>0</v>
      </c>
      <c r="F899" s="1">
        <v>8.6399999999999997E-4</v>
      </c>
      <c r="G899" s="15">
        <v>2.2481280000000008</v>
      </c>
    </row>
    <row r="900" spans="1:7" x14ac:dyDescent="0.35">
      <c r="A900" s="22">
        <v>45597</v>
      </c>
      <c r="B900" s="1">
        <v>0.26784000000000002</v>
      </c>
      <c r="C900" s="1">
        <v>4.723200000000001E-2</v>
      </c>
      <c r="D900" s="1">
        <v>4.5264959999999999</v>
      </c>
      <c r="E900" s="1">
        <v>4.5457920000000005</v>
      </c>
      <c r="F900" s="1">
        <v>0</v>
      </c>
      <c r="G900" s="15">
        <v>1.3233600000000001</v>
      </c>
    </row>
    <row r="901" spans="1:7" x14ac:dyDescent="0.35">
      <c r="A901" s="22">
        <v>45627</v>
      </c>
      <c r="B901" s="1">
        <v>0.15724799999999997</v>
      </c>
      <c r="C901" s="1">
        <v>7.9199999999999951E-2</v>
      </c>
      <c r="D901" s="1">
        <v>1.8829440000000004</v>
      </c>
      <c r="E901" s="1">
        <v>0.54345600000000005</v>
      </c>
      <c r="F901" s="1">
        <v>2.3904000000000002E-2</v>
      </c>
      <c r="G901" s="15">
        <v>1.3383360000000004</v>
      </c>
    </row>
    <row r="902" spans="1:7" x14ac:dyDescent="0.35">
      <c r="A902" s="22">
        <v>45658</v>
      </c>
      <c r="B902" s="1">
        <v>0.14716800000000002</v>
      </c>
      <c r="C902" s="1">
        <v>0.11606400000000006</v>
      </c>
      <c r="D902" s="1">
        <v>1.940256</v>
      </c>
      <c r="E902" s="1">
        <v>0.36691200000000002</v>
      </c>
      <c r="F902" s="1">
        <v>5.1840000000000011E-2</v>
      </c>
      <c r="G902" s="15">
        <v>1.5963840000000005</v>
      </c>
    </row>
    <row r="903" spans="1:7" x14ac:dyDescent="0.35">
      <c r="A903" s="22">
        <v>45689</v>
      </c>
      <c r="B903" s="1">
        <v>0.106848</v>
      </c>
      <c r="C903" s="1">
        <v>0.108288</v>
      </c>
      <c r="D903" s="1">
        <v>0.86284800000000017</v>
      </c>
      <c r="E903" s="1">
        <v>0.17596799999999999</v>
      </c>
      <c r="F903" s="1">
        <v>7.2287999999999991E-2</v>
      </c>
      <c r="G903" s="15">
        <v>1.2764159999999998</v>
      </c>
    </row>
    <row r="904" spans="1:7" x14ac:dyDescent="0.35">
      <c r="A904" s="22">
        <v>45717</v>
      </c>
      <c r="B904" s="1">
        <v>0.14572800000000002</v>
      </c>
      <c r="C904" s="1">
        <v>0.10540799999999997</v>
      </c>
      <c r="D904" s="1">
        <v>0.60364799999999996</v>
      </c>
      <c r="E904" s="1">
        <v>3.456E-2</v>
      </c>
      <c r="F904" s="1">
        <v>8.3807999999999994E-2</v>
      </c>
      <c r="G904" s="15">
        <v>10.082879999999999</v>
      </c>
    </row>
    <row r="905" spans="1:7" x14ac:dyDescent="0.35">
      <c r="A905" s="22">
        <v>45748</v>
      </c>
      <c r="B905" s="1">
        <v>0.16070400000000001</v>
      </c>
      <c r="C905" s="1">
        <v>6.1632000000000006E-2</v>
      </c>
      <c r="D905" s="1">
        <v>0.83894400000000013</v>
      </c>
      <c r="E905" s="1">
        <v>0</v>
      </c>
      <c r="F905" s="1">
        <v>3.4847999999999997E-2</v>
      </c>
      <c r="G905" s="15">
        <v>1.5456959999999997</v>
      </c>
    </row>
    <row r="906" spans="1:7" x14ac:dyDescent="0.35">
      <c r="A906" s="22">
        <v>45778</v>
      </c>
      <c r="B906" s="1">
        <v>1.6519679999999999</v>
      </c>
      <c r="C906" s="1">
        <v>5.7599999999999991E-2</v>
      </c>
      <c r="D906" s="1">
        <v>0.63705600000000018</v>
      </c>
      <c r="E906" s="1">
        <v>0</v>
      </c>
      <c r="F906" s="1">
        <v>0.79948799999999998</v>
      </c>
      <c r="G906" s="15">
        <v>0.567936</v>
      </c>
    </row>
    <row r="907" spans="1:7" x14ac:dyDescent="0.35">
      <c r="A907" s="22">
        <v>45809</v>
      </c>
      <c r="B907" s="1">
        <v>5.2231680000000003</v>
      </c>
      <c r="C907" s="1">
        <v>0.12873599999999993</v>
      </c>
      <c r="D907" s="1">
        <v>0.29404799999999998</v>
      </c>
      <c r="E907" s="1">
        <v>0.13305600000000001</v>
      </c>
      <c r="F907" s="1">
        <v>7.1423999999999987E-2</v>
      </c>
      <c r="G907" s="15">
        <v>1.1790719999999999</v>
      </c>
    </row>
    <row r="908" spans="1:7" x14ac:dyDescent="0.35">
      <c r="A908" s="22">
        <v>45839</v>
      </c>
      <c r="B908" s="1">
        <v>34.665984000000002</v>
      </c>
      <c r="C908" s="1">
        <v>4.0319999999999981E-2</v>
      </c>
      <c r="D908" s="1">
        <v>1.2686400000000002</v>
      </c>
      <c r="E908" s="1">
        <v>1.4472</v>
      </c>
      <c r="F908" s="1">
        <v>0.132192</v>
      </c>
      <c r="G908" s="15">
        <v>0.53856000000000004</v>
      </c>
    </row>
    <row r="909" spans="1:7" x14ac:dyDescent="0.35">
      <c r="A909" s="22">
        <v>45870</v>
      </c>
      <c r="B909" s="1">
        <v>7.0447679999999995</v>
      </c>
      <c r="C909" s="1">
        <v>3.3120000000000004E-2</v>
      </c>
      <c r="D909" s="1">
        <v>0.26438400000000001</v>
      </c>
      <c r="E909" s="1">
        <v>0</v>
      </c>
      <c r="F909" s="1">
        <v>5.9615999999999995E-2</v>
      </c>
      <c r="G909" s="15">
        <v>1.2384000000000001E-2</v>
      </c>
    </row>
    <row r="910" spans="1:7" x14ac:dyDescent="0.35">
      <c r="A910" s="22">
        <v>45901</v>
      </c>
      <c r="B910" s="1">
        <v>12.323520000000004</v>
      </c>
      <c r="C910" s="1">
        <v>0.13075200000000003</v>
      </c>
      <c r="D910" s="1">
        <v>0.55180800000000008</v>
      </c>
      <c r="E910" s="1">
        <v>0</v>
      </c>
      <c r="F910" s="1">
        <v>0.28022400000000008</v>
      </c>
      <c r="G910" s="15">
        <v>0.345024</v>
      </c>
    </row>
    <row r="911" spans="1:7" x14ac:dyDescent="0.35">
      <c r="A911" s="22">
        <v>45931</v>
      </c>
      <c r="B911" s="44">
        <v>2.7262080000000006</v>
      </c>
      <c r="C911" s="44">
        <v>6.7391999999999994E-2</v>
      </c>
      <c r="D911" s="44">
        <v>0.34819200000000028</v>
      </c>
      <c r="E911" s="44">
        <v>0</v>
      </c>
      <c r="F911" s="44">
        <v>4.1183999999999985E-2</v>
      </c>
      <c r="G911" s="45">
        <v>0.120384</v>
      </c>
    </row>
    <row r="912" spans="1:7" x14ac:dyDescent="0.35">
      <c r="A912" s="22">
        <v>45962</v>
      </c>
      <c r="B912" s="1"/>
      <c r="C912" s="1"/>
      <c r="D912" s="1"/>
      <c r="E912" s="1"/>
      <c r="F912" s="1"/>
      <c r="G912" s="15"/>
    </row>
    <row r="913" spans="1:7" ht="15" thickBot="1" x14ac:dyDescent="0.4">
      <c r="A913" s="24">
        <v>45992</v>
      </c>
      <c r="B913" s="16"/>
      <c r="C913" s="16"/>
      <c r="D913" s="16"/>
      <c r="E913" s="16"/>
      <c r="F913" s="16"/>
      <c r="G913" s="17"/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E29" sqref="E29"/>
    </sheetView>
  </sheetViews>
  <sheetFormatPr baseColWidth="10" defaultRowHeight="14.5" x14ac:dyDescent="0.35"/>
  <sheetData>
    <row r="1" spans="1:11" x14ac:dyDescent="0.35">
      <c r="A1" s="26" t="s">
        <v>21</v>
      </c>
      <c r="B1" s="33" t="s">
        <v>27</v>
      </c>
      <c r="C1" s="33" t="s">
        <v>28</v>
      </c>
      <c r="D1" s="33" t="s">
        <v>29</v>
      </c>
      <c r="E1" s="33" t="s">
        <v>22</v>
      </c>
      <c r="F1" t="s">
        <v>30</v>
      </c>
      <c r="G1" t="s">
        <v>31</v>
      </c>
      <c r="H1" t="s">
        <v>15</v>
      </c>
      <c r="I1" t="s">
        <v>16</v>
      </c>
      <c r="J1" t="s">
        <v>25</v>
      </c>
      <c r="K1" t="s">
        <v>12</v>
      </c>
    </row>
    <row r="2" spans="1:11" x14ac:dyDescent="0.35">
      <c r="A2" s="27">
        <v>45931</v>
      </c>
      <c r="B2" s="34">
        <f t="shared" ref="B2:B32" si="0">DAY(A2)</f>
        <v>1</v>
      </c>
      <c r="C2" s="34">
        <f t="shared" ref="C2:C25" si="1">MONTH(A2)</f>
        <v>10</v>
      </c>
      <c r="D2" s="34">
        <f t="shared" ref="D2:D25" si="2">YEAR(A2)</f>
        <v>2025</v>
      </c>
      <c r="E2">
        <v>0.31680000000000003</v>
      </c>
      <c r="F2">
        <v>8.6400000000000008E-4</v>
      </c>
      <c r="G2">
        <v>1.3535999999999999E-2</v>
      </c>
      <c r="H2">
        <v>0</v>
      </c>
      <c r="I2">
        <v>1.7280000000000002E-3</v>
      </c>
      <c r="J2">
        <v>2.3328000000000002E-2</v>
      </c>
      <c r="K2">
        <v>0.35625600000000007</v>
      </c>
    </row>
    <row r="3" spans="1:11" x14ac:dyDescent="0.35">
      <c r="A3" s="27">
        <v>45932</v>
      </c>
      <c r="B3" s="34">
        <f t="shared" si="0"/>
        <v>2</v>
      </c>
      <c r="C3" s="34">
        <f t="shared" si="1"/>
        <v>10</v>
      </c>
      <c r="D3" s="34">
        <f t="shared" si="2"/>
        <v>2025</v>
      </c>
      <c r="E3">
        <v>0.25171199999999999</v>
      </c>
      <c r="F3">
        <v>8.6400000000000008E-4</v>
      </c>
      <c r="G3">
        <v>1.1232000000000001E-2</v>
      </c>
      <c r="H3">
        <v>0</v>
      </c>
      <c r="I3">
        <v>1.7280000000000002E-3</v>
      </c>
      <c r="J3">
        <v>2.1312000000000001E-2</v>
      </c>
      <c r="K3">
        <v>0.28684800000000005</v>
      </c>
    </row>
    <row r="4" spans="1:11" x14ac:dyDescent="0.35">
      <c r="A4" s="27">
        <v>45933</v>
      </c>
      <c r="B4" s="34">
        <f t="shared" si="0"/>
        <v>3</v>
      </c>
      <c r="C4" s="34">
        <f t="shared" si="1"/>
        <v>10</v>
      </c>
      <c r="D4" s="34">
        <f t="shared" si="2"/>
        <v>2025</v>
      </c>
      <c r="E4">
        <v>0.17279999999999998</v>
      </c>
      <c r="F4">
        <v>8.6400000000000008E-4</v>
      </c>
      <c r="G4">
        <v>1.1520000000000001E-2</v>
      </c>
      <c r="H4">
        <v>0</v>
      </c>
      <c r="I4">
        <v>1.7280000000000002E-3</v>
      </c>
      <c r="J4">
        <v>1.6128000000000003E-2</v>
      </c>
      <c r="K4">
        <v>0.20304000000000003</v>
      </c>
    </row>
    <row r="5" spans="1:11" x14ac:dyDescent="0.35">
      <c r="A5" s="27">
        <v>45934</v>
      </c>
      <c r="B5" s="34">
        <f t="shared" si="0"/>
        <v>4</v>
      </c>
      <c r="C5" s="34">
        <f t="shared" si="1"/>
        <v>10</v>
      </c>
      <c r="D5" s="34">
        <f t="shared" si="2"/>
        <v>2025</v>
      </c>
      <c r="E5">
        <v>0.13795199999999999</v>
      </c>
      <c r="F5">
        <v>5.7600000000000001E-4</v>
      </c>
      <c r="G5">
        <v>1.1520000000000001E-2</v>
      </c>
      <c r="H5">
        <v>0</v>
      </c>
      <c r="I5">
        <v>1.7280000000000002E-3</v>
      </c>
      <c r="J5">
        <v>1.1520000000000001E-2</v>
      </c>
      <c r="K5">
        <v>0.16329600000000002</v>
      </c>
    </row>
    <row r="6" spans="1:11" x14ac:dyDescent="0.35">
      <c r="A6" s="27">
        <v>45935</v>
      </c>
      <c r="B6" s="34">
        <f t="shared" si="0"/>
        <v>5</v>
      </c>
      <c r="C6" s="34">
        <f t="shared" si="1"/>
        <v>10</v>
      </c>
      <c r="D6" s="34">
        <f t="shared" si="2"/>
        <v>2025</v>
      </c>
      <c r="E6">
        <v>0.12700800000000001</v>
      </c>
      <c r="F6">
        <v>5.7600000000000001E-4</v>
      </c>
      <c r="G6">
        <v>1.1520000000000001E-2</v>
      </c>
      <c r="H6">
        <v>0</v>
      </c>
      <c r="I6">
        <v>1.7280000000000002E-3</v>
      </c>
      <c r="J6">
        <v>8.0640000000000017E-3</v>
      </c>
      <c r="K6">
        <v>0.148896</v>
      </c>
    </row>
    <row r="7" spans="1:11" x14ac:dyDescent="0.35">
      <c r="A7" s="27">
        <v>45936</v>
      </c>
      <c r="B7" s="34">
        <f t="shared" si="0"/>
        <v>6</v>
      </c>
      <c r="C7" s="34">
        <f t="shared" si="1"/>
        <v>10</v>
      </c>
      <c r="D7" s="34">
        <f t="shared" si="2"/>
        <v>2025</v>
      </c>
      <c r="E7">
        <v>0.11088000000000002</v>
      </c>
      <c r="F7">
        <v>5.7600000000000001E-4</v>
      </c>
      <c r="G7">
        <v>1.1520000000000001E-2</v>
      </c>
      <c r="H7">
        <v>0</v>
      </c>
      <c r="I7">
        <v>1.7280000000000002E-3</v>
      </c>
      <c r="J7">
        <v>6.0480000000000004E-3</v>
      </c>
      <c r="K7">
        <v>0.13075200000000001</v>
      </c>
    </row>
    <row r="8" spans="1:11" x14ac:dyDescent="0.35">
      <c r="A8" s="27">
        <v>45937</v>
      </c>
      <c r="B8" s="34">
        <f t="shared" si="0"/>
        <v>7</v>
      </c>
      <c r="C8" s="34">
        <f t="shared" si="1"/>
        <v>10</v>
      </c>
      <c r="D8" s="34">
        <f t="shared" si="2"/>
        <v>2025</v>
      </c>
      <c r="E8">
        <v>9.0432000000000012E-2</v>
      </c>
      <c r="F8">
        <v>5.7600000000000001E-4</v>
      </c>
      <c r="G8">
        <v>1.0944000000000001E-2</v>
      </c>
      <c r="H8">
        <v>0</v>
      </c>
      <c r="I8">
        <v>1.4400000000000001E-3</v>
      </c>
      <c r="J8">
        <v>4.6080000000000001E-3</v>
      </c>
      <c r="K8">
        <v>0.108</v>
      </c>
    </row>
    <row r="9" spans="1:11" x14ac:dyDescent="0.35">
      <c r="A9" s="27">
        <v>45938</v>
      </c>
      <c r="B9" s="34">
        <f t="shared" si="0"/>
        <v>8</v>
      </c>
      <c r="C9" s="34">
        <f t="shared" si="1"/>
        <v>10</v>
      </c>
      <c r="D9" s="34">
        <f t="shared" si="2"/>
        <v>2025</v>
      </c>
      <c r="E9">
        <v>6.6816E-2</v>
      </c>
      <c r="F9">
        <v>5.7600000000000001E-4</v>
      </c>
      <c r="G9">
        <v>1.1520000000000001E-2</v>
      </c>
      <c r="H9">
        <v>0</v>
      </c>
      <c r="I9">
        <v>1.4400000000000001E-3</v>
      </c>
      <c r="J9">
        <v>4.0320000000000009E-3</v>
      </c>
      <c r="K9">
        <v>8.4384000000000001E-2</v>
      </c>
    </row>
    <row r="10" spans="1:11" x14ac:dyDescent="0.35">
      <c r="A10" s="27">
        <v>45939</v>
      </c>
      <c r="B10" s="34">
        <f t="shared" si="0"/>
        <v>9</v>
      </c>
      <c r="C10" s="34">
        <f t="shared" si="1"/>
        <v>10</v>
      </c>
      <c r="D10" s="34">
        <f t="shared" si="2"/>
        <v>2025</v>
      </c>
      <c r="E10">
        <v>5.4719999999999998E-2</v>
      </c>
      <c r="F10">
        <v>5.7600000000000001E-4</v>
      </c>
      <c r="G10">
        <v>1.2384000000000001E-2</v>
      </c>
      <c r="H10">
        <v>0</v>
      </c>
      <c r="I10">
        <v>1.4400000000000001E-3</v>
      </c>
      <c r="J10">
        <v>3.4560000000000003E-3</v>
      </c>
      <c r="K10">
        <v>7.2576000000000002E-2</v>
      </c>
    </row>
    <row r="11" spans="1:11" x14ac:dyDescent="0.35">
      <c r="A11" s="27">
        <v>45940</v>
      </c>
      <c r="B11" s="34">
        <f t="shared" si="0"/>
        <v>10</v>
      </c>
      <c r="C11" s="34">
        <f t="shared" si="1"/>
        <v>10</v>
      </c>
      <c r="D11" s="34">
        <f t="shared" si="2"/>
        <v>2025</v>
      </c>
      <c r="E11">
        <v>5.2128000000000008E-2</v>
      </c>
      <c r="F11">
        <v>5.7600000000000001E-4</v>
      </c>
      <c r="G11">
        <v>1.2672000000000001E-2</v>
      </c>
      <c r="H11">
        <v>0</v>
      </c>
      <c r="I11">
        <v>1.4400000000000001E-3</v>
      </c>
      <c r="J11">
        <v>3.1680000000000002E-3</v>
      </c>
      <c r="K11">
        <v>6.9984000000000005E-2</v>
      </c>
    </row>
    <row r="12" spans="1:11" x14ac:dyDescent="0.35">
      <c r="A12" s="27">
        <v>45941</v>
      </c>
      <c r="B12" s="34">
        <f t="shared" si="0"/>
        <v>11</v>
      </c>
      <c r="C12" s="34">
        <f t="shared" si="1"/>
        <v>10</v>
      </c>
      <c r="D12" s="34">
        <f t="shared" si="2"/>
        <v>2025</v>
      </c>
      <c r="E12">
        <v>4.0031999999999998E-2</v>
      </c>
      <c r="F12">
        <v>5.7600000000000001E-4</v>
      </c>
      <c r="G12">
        <v>1.2960000000000001E-2</v>
      </c>
      <c r="H12">
        <v>0</v>
      </c>
      <c r="I12">
        <v>1.4400000000000001E-3</v>
      </c>
      <c r="J12">
        <v>2.5920000000000001E-3</v>
      </c>
      <c r="K12">
        <v>5.7600000000000005E-2</v>
      </c>
    </row>
    <row r="13" spans="1:11" x14ac:dyDescent="0.35">
      <c r="A13" s="27">
        <v>45942</v>
      </c>
      <c r="B13" s="34">
        <f t="shared" si="0"/>
        <v>12</v>
      </c>
      <c r="C13" s="34">
        <f t="shared" si="1"/>
        <v>10</v>
      </c>
      <c r="D13" s="34">
        <f t="shared" si="2"/>
        <v>2025</v>
      </c>
      <c r="E13">
        <v>4.4352000000000003E-2</v>
      </c>
      <c r="F13">
        <v>5.7600000000000001E-4</v>
      </c>
      <c r="G13">
        <v>1.1807999999999999E-2</v>
      </c>
      <c r="H13">
        <v>0</v>
      </c>
      <c r="I13">
        <v>1.4400000000000001E-3</v>
      </c>
      <c r="J13">
        <v>2.5920000000000001E-3</v>
      </c>
      <c r="K13">
        <v>6.0767999999999996E-2</v>
      </c>
    </row>
    <row r="14" spans="1:11" x14ac:dyDescent="0.35">
      <c r="A14" s="27">
        <v>45943</v>
      </c>
      <c r="B14" s="34">
        <f t="shared" si="0"/>
        <v>13</v>
      </c>
      <c r="C14" s="34">
        <f t="shared" si="1"/>
        <v>10</v>
      </c>
      <c r="D14" s="34">
        <f t="shared" si="2"/>
        <v>2025</v>
      </c>
      <c r="E14">
        <v>4.8960000000000004E-2</v>
      </c>
      <c r="F14">
        <v>5.7600000000000001E-4</v>
      </c>
      <c r="G14">
        <v>1.1232000000000001E-2</v>
      </c>
      <c r="H14">
        <v>0</v>
      </c>
      <c r="I14">
        <v>1.4400000000000001E-3</v>
      </c>
      <c r="J14">
        <v>2.5920000000000001E-3</v>
      </c>
      <c r="K14">
        <v>6.4799999999999983E-2</v>
      </c>
    </row>
    <row r="15" spans="1:11" x14ac:dyDescent="0.35">
      <c r="A15" s="27">
        <v>45944</v>
      </c>
      <c r="B15" s="34">
        <f t="shared" si="0"/>
        <v>14</v>
      </c>
      <c r="C15" s="34">
        <f t="shared" si="1"/>
        <v>10</v>
      </c>
      <c r="D15" s="34">
        <f t="shared" si="2"/>
        <v>2025</v>
      </c>
      <c r="E15">
        <v>4.7807999999999996E-2</v>
      </c>
      <c r="F15">
        <v>5.7600000000000001E-4</v>
      </c>
      <c r="G15">
        <v>1.1232000000000001E-2</v>
      </c>
      <c r="H15">
        <v>0</v>
      </c>
      <c r="I15">
        <v>1.4400000000000001E-3</v>
      </c>
      <c r="J15">
        <v>2.5920000000000001E-3</v>
      </c>
      <c r="K15">
        <v>6.3647999999999996E-2</v>
      </c>
    </row>
    <row r="16" spans="1:11" x14ac:dyDescent="0.35">
      <c r="A16" s="27">
        <v>45945</v>
      </c>
      <c r="B16" s="34">
        <f t="shared" si="0"/>
        <v>15</v>
      </c>
      <c r="C16" s="34">
        <f t="shared" si="1"/>
        <v>10</v>
      </c>
      <c r="D16" s="34">
        <f t="shared" si="2"/>
        <v>2025</v>
      </c>
      <c r="E16">
        <v>4.6367999999999999E-2</v>
      </c>
      <c r="F16">
        <v>5.7600000000000001E-4</v>
      </c>
      <c r="G16">
        <v>1.1520000000000001E-2</v>
      </c>
      <c r="H16">
        <v>0</v>
      </c>
      <c r="I16">
        <v>1.4400000000000001E-3</v>
      </c>
      <c r="J16">
        <v>2.3040000000000001E-3</v>
      </c>
      <c r="K16">
        <v>6.2208000000000006E-2</v>
      </c>
    </row>
    <row r="17" spans="1:11" x14ac:dyDescent="0.35">
      <c r="A17" s="27">
        <v>45946</v>
      </c>
      <c r="B17" s="34">
        <f t="shared" si="0"/>
        <v>16</v>
      </c>
      <c r="C17" s="34">
        <f t="shared" si="1"/>
        <v>10</v>
      </c>
      <c r="D17" s="34">
        <f t="shared" si="2"/>
        <v>2025</v>
      </c>
      <c r="E17">
        <v>3.6288000000000001E-2</v>
      </c>
      <c r="F17">
        <v>5.7600000000000001E-4</v>
      </c>
      <c r="G17">
        <v>1.1807999999999999E-2</v>
      </c>
      <c r="H17">
        <v>0</v>
      </c>
      <c r="I17">
        <v>1.4400000000000001E-3</v>
      </c>
      <c r="J17">
        <v>2.0160000000000004E-3</v>
      </c>
      <c r="K17">
        <v>5.2128000000000008E-2</v>
      </c>
    </row>
    <row r="18" spans="1:11" x14ac:dyDescent="0.35">
      <c r="A18" s="27">
        <v>45947</v>
      </c>
      <c r="B18" s="34">
        <f t="shared" si="0"/>
        <v>17</v>
      </c>
      <c r="C18" s="34">
        <f t="shared" si="1"/>
        <v>10</v>
      </c>
      <c r="D18" s="34">
        <f t="shared" si="2"/>
        <v>2025</v>
      </c>
      <c r="E18">
        <v>0.141984</v>
      </c>
      <c r="F18">
        <v>5.7600000000000001E-4</v>
      </c>
      <c r="G18">
        <v>1.5840000000000003E-2</v>
      </c>
      <c r="H18">
        <v>0</v>
      </c>
      <c r="I18">
        <v>1.4400000000000001E-3</v>
      </c>
      <c r="J18">
        <v>1.7280000000000002E-3</v>
      </c>
      <c r="K18">
        <v>0.16156799999999996</v>
      </c>
    </row>
    <row r="19" spans="1:11" x14ac:dyDescent="0.35">
      <c r="A19" s="27">
        <v>45948</v>
      </c>
      <c r="B19" s="34">
        <f t="shared" si="0"/>
        <v>18</v>
      </c>
      <c r="C19" s="34">
        <f t="shared" si="1"/>
        <v>10</v>
      </c>
      <c r="D19" s="34">
        <f t="shared" si="2"/>
        <v>2025</v>
      </c>
      <c r="E19">
        <v>9.648000000000001E-2</v>
      </c>
      <c r="F19">
        <v>5.7600000000000001E-4</v>
      </c>
      <c r="G19">
        <v>1.7856E-2</v>
      </c>
      <c r="H19">
        <v>0</v>
      </c>
      <c r="I19">
        <v>1.4400000000000001E-3</v>
      </c>
      <c r="J19">
        <v>1.4400000000000001E-3</v>
      </c>
      <c r="K19">
        <v>0.11779200000000001</v>
      </c>
    </row>
    <row r="20" spans="1:11" x14ac:dyDescent="0.35">
      <c r="A20" s="27">
        <v>45949</v>
      </c>
      <c r="B20" s="34">
        <f t="shared" si="0"/>
        <v>19</v>
      </c>
      <c r="C20" s="34">
        <f t="shared" si="1"/>
        <v>10</v>
      </c>
      <c r="D20" s="34">
        <f t="shared" si="2"/>
        <v>2025</v>
      </c>
      <c r="E20">
        <v>8.8127999999999998E-2</v>
      </c>
      <c r="F20">
        <v>8.6400000000000008E-4</v>
      </c>
      <c r="G20">
        <v>1.7856E-2</v>
      </c>
      <c r="H20">
        <v>0</v>
      </c>
      <c r="I20">
        <v>1.4400000000000001E-3</v>
      </c>
      <c r="J20">
        <v>8.6400000000000008E-4</v>
      </c>
      <c r="K20">
        <v>0.10915199999999999</v>
      </c>
    </row>
    <row r="21" spans="1:11" x14ac:dyDescent="0.35">
      <c r="A21" s="27">
        <v>45950</v>
      </c>
      <c r="B21" s="34">
        <f t="shared" si="0"/>
        <v>20</v>
      </c>
      <c r="C21" s="34">
        <f t="shared" si="1"/>
        <v>10</v>
      </c>
      <c r="D21" s="34">
        <f t="shared" si="2"/>
        <v>2025</v>
      </c>
      <c r="E21">
        <v>5.2704000000000001E-2</v>
      </c>
      <c r="F21">
        <v>8.6400000000000008E-4</v>
      </c>
      <c r="G21">
        <v>1.2096000000000001E-2</v>
      </c>
      <c r="H21">
        <v>0</v>
      </c>
      <c r="I21">
        <v>1.4400000000000001E-3</v>
      </c>
      <c r="J21">
        <v>0</v>
      </c>
      <c r="K21">
        <v>6.7104000000000011E-2</v>
      </c>
    </row>
    <row r="22" spans="1:11" x14ac:dyDescent="0.35">
      <c r="A22" s="27">
        <v>45951</v>
      </c>
      <c r="B22" s="34">
        <f t="shared" si="0"/>
        <v>21</v>
      </c>
      <c r="C22" s="34">
        <f t="shared" si="1"/>
        <v>10</v>
      </c>
      <c r="D22" s="34">
        <f t="shared" si="2"/>
        <v>2025</v>
      </c>
      <c r="E22">
        <v>4.2624000000000002E-2</v>
      </c>
      <c r="F22">
        <v>5.7600000000000001E-4</v>
      </c>
      <c r="G22">
        <v>9.7920000000000004E-3</v>
      </c>
      <c r="H22">
        <v>0</v>
      </c>
      <c r="I22">
        <v>1.152E-3</v>
      </c>
      <c r="J22">
        <v>0</v>
      </c>
      <c r="K22">
        <v>5.4144000000000005E-2</v>
      </c>
    </row>
    <row r="23" spans="1:11" x14ac:dyDescent="0.35">
      <c r="A23" s="27">
        <v>45952</v>
      </c>
      <c r="B23" s="34">
        <f t="shared" si="0"/>
        <v>22</v>
      </c>
      <c r="C23" s="34">
        <f t="shared" si="1"/>
        <v>10</v>
      </c>
      <c r="D23" s="34">
        <f t="shared" si="2"/>
        <v>2025</v>
      </c>
      <c r="E23">
        <v>3.6864000000000001E-2</v>
      </c>
      <c r="F23">
        <v>5.7600000000000001E-4</v>
      </c>
      <c r="G23">
        <v>9.7920000000000004E-3</v>
      </c>
      <c r="H23">
        <v>0</v>
      </c>
      <c r="I23">
        <v>1.4400000000000001E-3</v>
      </c>
      <c r="J23">
        <v>0</v>
      </c>
      <c r="K23">
        <v>4.8672000000000014E-2</v>
      </c>
    </row>
    <row r="24" spans="1:11" x14ac:dyDescent="0.35">
      <c r="A24" s="27">
        <v>45953</v>
      </c>
      <c r="B24" s="34">
        <f t="shared" si="0"/>
        <v>23</v>
      </c>
      <c r="C24" s="34">
        <f t="shared" si="1"/>
        <v>10</v>
      </c>
      <c r="D24" s="34">
        <f t="shared" si="2"/>
        <v>2025</v>
      </c>
      <c r="E24">
        <v>3.5424000000000004E-2</v>
      </c>
      <c r="F24">
        <v>5.7600000000000001E-4</v>
      </c>
      <c r="G24">
        <v>8.9280000000000002E-3</v>
      </c>
      <c r="H24">
        <v>0</v>
      </c>
      <c r="I24">
        <v>1.4400000000000001E-3</v>
      </c>
      <c r="J24">
        <v>0</v>
      </c>
      <c r="K24">
        <v>4.6367999999999999E-2</v>
      </c>
    </row>
    <row r="25" spans="1:11" ht="15" thickBot="1" x14ac:dyDescent="0.4">
      <c r="A25" s="28">
        <v>45954</v>
      </c>
      <c r="B25" s="34">
        <f t="shared" si="0"/>
        <v>24</v>
      </c>
      <c r="C25" s="34">
        <f t="shared" si="1"/>
        <v>10</v>
      </c>
      <c r="D25" s="34">
        <f t="shared" si="2"/>
        <v>2025</v>
      </c>
      <c r="E25">
        <v>9.0432000000000012E-2</v>
      </c>
      <c r="F25">
        <v>8.9280000000000002E-3</v>
      </c>
      <c r="G25">
        <v>8.352E-3</v>
      </c>
      <c r="H25">
        <v>0</v>
      </c>
      <c r="I25">
        <v>1.4400000000000001E-3</v>
      </c>
      <c r="J25">
        <v>0</v>
      </c>
      <c r="K25">
        <v>0.10915200000000001</v>
      </c>
    </row>
    <row r="26" spans="1:11" x14ac:dyDescent="0.35">
      <c r="A26" s="27">
        <v>45955</v>
      </c>
      <c r="B26" s="42">
        <f t="shared" si="0"/>
        <v>25</v>
      </c>
      <c r="C26" s="42">
        <f t="shared" ref="C26:C32" si="3">MONTH(A26)</f>
        <v>10</v>
      </c>
      <c r="D26" s="42">
        <f t="shared" ref="D26:D32" si="4">YEAR(A26)</f>
        <v>2025</v>
      </c>
      <c r="E26" s="41">
        <f>E34*0.0864/3</f>
        <v>0.18835199999999999</v>
      </c>
      <c r="F26" s="41">
        <f t="shared" ref="F26:J26" si="5">F34*0.0864/3</f>
        <v>3.5136000000000001E-2</v>
      </c>
      <c r="G26" s="41">
        <f t="shared" si="5"/>
        <v>8.352E-3</v>
      </c>
      <c r="H26" s="41">
        <f t="shared" si="5"/>
        <v>0</v>
      </c>
      <c r="I26" s="41">
        <f t="shared" si="5"/>
        <v>0</v>
      </c>
      <c r="J26" s="41">
        <f t="shared" si="5"/>
        <v>0</v>
      </c>
      <c r="K26" s="43">
        <f>SUM(E26:J26)</f>
        <v>0.23183999999999999</v>
      </c>
    </row>
    <row r="27" spans="1:11" ht="15" thickBot="1" x14ac:dyDescent="0.4">
      <c r="A27" s="28">
        <v>45956</v>
      </c>
      <c r="B27" s="42">
        <f t="shared" si="0"/>
        <v>26</v>
      </c>
      <c r="C27" s="42">
        <f t="shared" si="3"/>
        <v>10</v>
      </c>
      <c r="D27" s="42">
        <f t="shared" si="4"/>
        <v>2025</v>
      </c>
      <c r="E27" s="41">
        <f t="shared" ref="E27:J27" si="6">E35*0.0864/3</f>
        <v>9.1296000000000002E-2</v>
      </c>
      <c r="F27" s="41">
        <f t="shared" si="6"/>
        <v>2.5920000000000001E-3</v>
      </c>
      <c r="G27" s="41">
        <f t="shared" si="6"/>
        <v>8.6400000000000001E-3</v>
      </c>
      <c r="H27" s="41">
        <f t="shared" si="6"/>
        <v>0</v>
      </c>
      <c r="I27" s="41">
        <f t="shared" si="6"/>
        <v>0</v>
      </c>
      <c r="J27" s="41">
        <f t="shared" si="6"/>
        <v>0</v>
      </c>
      <c r="K27" s="43">
        <f t="shared" ref="K27:K32" si="7">SUM(E27:J27)</f>
        <v>0.10252799999999999</v>
      </c>
    </row>
    <row r="28" spans="1:11" x14ac:dyDescent="0.35">
      <c r="A28" s="27">
        <v>45957</v>
      </c>
      <c r="B28" s="42">
        <f t="shared" si="0"/>
        <v>27</v>
      </c>
      <c r="C28" s="42">
        <f t="shared" si="3"/>
        <v>10</v>
      </c>
      <c r="D28" s="42">
        <f t="shared" si="4"/>
        <v>2025</v>
      </c>
      <c r="E28" s="41">
        <f t="shared" ref="E28:J28" si="8">E36*0.0864/3</f>
        <v>5.9904000000000006E-2</v>
      </c>
      <c r="F28" s="41">
        <f t="shared" si="8"/>
        <v>1.4400000000000001E-3</v>
      </c>
      <c r="G28" s="41">
        <f t="shared" si="8"/>
        <v>8.352E-3</v>
      </c>
      <c r="H28" s="41">
        <f t="shared" si="8"/>
        <v>0</v>
      </c>
      <c r="I28" s="41">
        <f t="shared" si="8"/>
        <v>1.152E-3</v>
      </c>
      <c r="J28" s="41">
        <f t="shared" si="8"/>
        <v>0</v>
      </c>
      <c r="K28" s="43">
        <f t="shared" si="7"/>
        <v>7.0848000000000008E-2</v>
      </c>
    </row>
    <row r="29" spans="1:11" ht="15" thickBot="1" x14ac:dyDescent="0.4">
      <c r="A29" s="28">
        <v>45958</v>
      </c>
      <c r="B29" s="42">
        <f t="shared" si="0"/>
        <v>28</v>
      </c>
      <c r="C29" s="42">
        <f t="shared" si="3"/>
        <v>10</v>
      </c>
      <c r="D29" s="42">
        <f t="shared" si="4"/>
        <v>2025</v>
      </c>
      <c r="E29" s="41">
        <f t="shared" ref="E29:J29" si="9">E37*0.0864/3</f>
        <v>4.1759999999999999E-2</v>
      </c>
      <c r="F29" s="41">
        <f t="shared" si="9"/>
        <v>1.152E-3</v>
      </c>
      <c r="G29" s="41">
        <f t="shared" si="9"/>
        <v>8.352E-3</v>
      </c>
      <c r="H29" s="41">
        <f t="shared" si="9"/>
        <v>0</v>
      </c>
      <c r="I29" s="41">
        <f t="shared" si="9"/>
        <v>1.152E-3</v>
      </c>
      <c r="J29" s="41">
        <f t="shared" si="9"/>
        <v>0</v>
      </c>
      <c r="K29" s="43">
        <f t="shared" si="7"/>
        <v>5.2415999999999997E-2</v>
      </c>
    </row>
    <row r="30" spans="1:11" x14ac:dyDescent="0.35">
      <c r="A30" s="27">
        <v>45959</v>
      </c>
      <c r="B30" s="42">
        <f t="shared" si="0"/>
        <v>29</v>
      </c>
      <c r="C30" s="42">
        <f t="shared" si="3"/>
        <v>10</v>
      </c>
      <c r="D30" s="42">
        <f t="shared" si="4"/>
        <v>2025</v>
      </c>
      <c r="E30" s="41">
        <f t="shared" ref="E30:J30" si="10">E38*0.0864/3</f>
        <v>3.7440000000000001E-2</v>
      </c>
      <c r="F30" s="41">
        <f t="shared" si="10"/>
        <v>1.152E-3</v>
      </c>
      <c r="G30" s="41">
        <f t="shared" si="10"/>
        <v>8.352E-3</v>
      </c>
      <c r="H30" s="41">
        <f t="shared" si="10"/>
        <v>0</v>
      </c>
      <c r="I30" s="41">
        <f t="shared" si="10"/>
        <v>8.6400000000000008E-4</v>
      </c>
      <c r="J30" s="41">
        <f t="shared" si="10"/>
        <v>0</v>
      </c>
      <c r="K30" s="43">
        <f t="shared" si="7"/>
        <v>4.7807999999999996E-2</v>
      </c>
    </row>
    <row r="31" spans="1:11" ht="15" thickBot="1" x14ac:dyDescent="0.4">
      <c r="A31" s="28">
        <v>45960</v>
      </c>
      <c r="B31" s="42">
        <f t="shared" si="0"/>
        <v>30</v>
      </c>
      <c r="C31" s="42">
        <f t="shared" si="3"/>
        <v>10</v>
      </c>
      <c r="D31" s="42">
        <f t="shared" si="4"/>
        <v>2025</v>
      </c>
      <c r="E31" s="41">
        <f t="shared" ref="E31:J31" si="11">E39*0.0864/3</f>
        <v>4.0320000000000002E-2</v>
      </c>
      <c r="F31" s="41">
        <f t="shared" si="11"/>
        <v>1.152E-3</v>
      </c>
      <c r="G31" s="41">
        <f t="shared" si="11"/>
        <v>8.352E-3</v>
      </c>
      <c r="H31" s="41">
        <f t="shared" si="11"/>
        <v>0</v>
      </c>
      <c r="I31" s="41">
        <f t="shared" si="11"/>
        <v>8.6400000000000008E-4</v>
      </c>
      <c r="J31" s="41">
        <f t="shared" si="11"/>
        <v>0</v>
      </c>
      <c r="K31" s="43">
        <f t="shared" si="7"/>
        <v>5.0687999999999997E-2</v>
      </c>
    </row>
    <row r="32" spans="1:11" x14ac:dyDescent="0.35">
      <c r="A32" s="27">
        <v>45961</v>
      </c>
      <c r="B32" s="42">
        <f t="shared" si="0"/>
        <v>31</v>
      </c>
      <c r="C32" s="42">
        <f t="shared" si="3"/>
        <v>10</v>
      </c>
      <c r="D32" s="42">
        <f t="shared" si="4"/>
        <v>2025</v>
      </c>
      <c r="E32" s="41">
        <f t="shared" ref="E32:J32" si="12">E40*0.0864/3</f>
        <v>3.7440000000000001E-2</v>
      </c>
      <c r="F32" s="41">
        <f t="shared" si="12"/>
        <v>1.152E-3</v>
      </c>
      <c r="G32" s="41">
        <f t="shared" si="12"/>
        <v>8.352E-3</v>
      </c>
      <c r="H32" s="41">
        <f t="shared" si="12"/>
        <v>0</v>
      </c>
      <c r="I32" s="41">
        <f t="shared" si="12"/>
        <v>1.152E-3</v>
      </c>
      <c r="J32" s="41">
        <f t="shared" si="12"/>
        <v>0</v>
      </c>
      <c r="K32" s="43">
        <f t="shared" si="7"/>
        <v>4.8096E-2</v>
      </c>
    </row>
    <row r="33" spans="5:11" x14ac:dyDescent="0.35">
      <c r="E33" s="47">
        <f>SUM(E2:E32)</f>
        <v>2.7262080000000006</v>
      </c>
      <c r="F33" s="47">
        <f t="shared" ref="F33:K33" si="13">SUM(F2:F32)</f>
        <v>6.7391999999999994E-2</v>
      </c>
      <c r="G33" s="47">
        <f t="shared" si="13"/>
        <v>0.34819200000000028</v>
      </c>
      <c r="H33" s="47">
        <f t="shared" si="13"/>
        <v>0</v>
      </c>
      <c r="I33" s="47">
        <f t="shared" si="13"/>
        <v>4.1183999999999985E-2</v>
      </c>
      <c r="J33" s="47">
        <f t="shared" si="13"/>
        <v>0.120384</v>
      </c>
      <c r="K33" s="47">
        <f t="shared" si="13"/>
        <v>3.3033600000000001</v>
      </c>
    </row>
    <row r="34" spans="5:11" x14ac:dyDescent="0.35">
      <c r="E34">
        <v>6.54</v>
      </c>
      <c r="F34">
        <v>1.22</v>
      </c>
      <c r="G34">
        <v>0.28999999999999998</v>
      </c>
      <c r="H34">
        <v>0</v>
      </c>
      <c r="I34">
        <v>0</v>
      </c>
      <c r="J34">
        <v>0</v>
      </c>
    </row>
    <row r="35" spans="5:11" x14ac:dyDescent="0.35">
      <c r="E35">
        <v>3.17</v>
      </c>
      <c r="F35">
        <v>0.09</v>
      </c>
      <c r="G35">
        <v>0.3</v>
      </c>
      <c r="H35">
        <v>0</v>
      </c>
      <c r="I35">
        <v>0</v>
      </c>
      <c r="J35">
        <v>0</v>
      </c>
    </row>
    <row r="36" spans="5:11" x14ac:dyDescent="0.35">
      <c r="E36">
        <v>2.08</v>
      </c>
      <c r="F36">
        <v>0.05</v>
      </c>
      <c r="G36">
        <v>0.28999999999999998</v>
      </c>
      <c r="H36">
        <v>0</v>
      </c>
      <c r="I36">
        <v>0.04</v>
      </c>
      <c r="J36">
        <v>0</v>
      </c>
    </row>
    <row r="37" spans="5:11" x14ac:dyDescent="0.35">
      <c r="E37">
        <v>1.45</v>
      </c>
      <c r="F37">
        <v>0.04</v>
      </c>
      <c r="G37">
        <v>0.28999999999999998</v>
      </c>
      <c r="H37">
        <v>0</v>
      </c>
      <c r="I37">
        <v>0.04</v>
      </c>
      <c r="J37">
        <v>0</v>
      </c>
    </row>
    <row r="38" spans="5:11" x14ac:dyDescent="0.35">
      <c r="E38">
        <v>1.3</v>
      </c>
      <c r="F38">
        <v>0.04</v>
      </c>
      <c r="G38">
        <v>0.28999999999999998</v>
      </c>
      <c r="H38">
        <v>0</v>
      </c>
      <c r="I38">
        <v>0.03</v>
      </c>
      <c r="J38">
        <v>0</v>
      </c>
    </row>
    <row r="39" spans="5:11" x14ac:dyDescent="0.35">
      <c r="E39">
        <v>1.4</v>
      </c>
      <c r="F39">
        <v>0.04</v>
      </c>
      <c r="G39">
        <v>0.28999999999999998</v>
      </c>
      <c r="H39">
        <v>0</v>
      </c>
      <c r="I39">
        <v>0.03</v>
      </c>
      <c r="J39">
        <v>0</v>
      </c>
    </row>
    <row r="40" spans="5:11" x14ac:dyDescent="0.35">
      <c r="E40">
        <v>1.3</v>
      </c>
      <c r="F40">
        <v>0.04</v>
      </c>
      <c r="G40">
        <v>0.28999999999999998</v>
      </c>
      <c r="H40">
        <v>0</v>
      </c>
      <c r="I40">
        <v>0.04</v>
      </c>
      <c r="J40">
        <v>0</v>
      </c>
    </row>
    <row r="41" spans="5:11" x14ac:dyDescent="0.35">
      <c r="E41" s="51" t="s">
        <v>32</v>
      </c>
      <c r="F41" s="51"/>
      <c r="G41" s="51"/>
      <c r="H41" s="51"/>
      <c r="I41" s="51"/>
      <c r="J41" s="51"/>
    </row>
  </sheetData>
  <mergeCells count="1">
    <mergeCell ref="E41:J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6 Tributarios</vt:lpstr>
      <vt:lpstr>Conchos</vt:lpstr>
      <vt:lpstr>Vacas</vt:lpstr>
      <vt:lpstr>San Diego</vt:lpstr>
      <vt:lpstr>San Rodrigo</vt:lpstr>
      <vt:lpstr>Escondido</vt:lpstr>
      <vt:lpstr>Salado</vt:lpstr>
      <vt:lpstr>Base de Datos</vt:lpstr>
      <vt:lpstr>Oct2025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Zetina</dc:creator>
  <cp:lastModifiedBy>Alfonso Gutierrez Lopez</cp:lastModifiedBy>
  <dcterms:created xsi:type="dcterms:W3CDTF">2026-02-25T23:29:39Z</dcterms:created>
  <dcterms:modified xsi:type="dcterms:W3CDTF">2026-03-03T00:03:16Z</dcterms:modified>
</cp:coreProperties>
</file>